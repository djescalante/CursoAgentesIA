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ancolombia-my.sharepoint.com/personal/ralopez_bancolombia_com_co/Documents/Gerencia/1. Incidentes/8. Fraudes/"/>
    </mc:Choice>
  </mc:AlternateContent>
  <xr:revisionPtr revIDLastSave="0" documentId="8_{A5B3A3DA-FDB6-48AA-AF99-DC93CB5B6D33}" xr6:coauthVersionLast="47" xr6:coauthVersionMax="47" xr10:uidLastSave="{00000000-0000-0000-0000-000000000000}"/>
  <bookViews>
    <workbookView xWindow="-120" yWindow="-120" windowWidth="29040" windowHeight="15720" tabRatio="427" xr2:uid="{10DE4458-83FF-4C45-AAD1-617AD08360E2}"/>
  </bookViews>
  <sheets>
    <sheet name="Fraudes" sheetId="1" r:id="rId1"/>
  </sheets>
  <definedNames>
    <definedName name="_xlnm._FilterDatabase" localSheetId="0" hidden="1">Fraudes!$C$1:$AC$90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T157" i="1"/>
  <c r="T158" i="1"/>
  <c r="S158" i="1"/>
  <c r="J158" i="1"/>
  <c r="N158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5" i="1"/>
  <c r="T26" i="1"/>
  <c r="T27" i="1"/>
  <c r="T28" i="1"/>
  <c r="T29" i="1"/>
  <c r="T3" i="1"/>
  <c r="S4" i="1"/>
  <c r="S5" i="1"/>
  <c r="S6" i="1"/>
  <c r="S7" i="1"/>
  <c r="S8" i="1"/>
  <c r="S9" i="1"/>
  <c r="S10" i="1"/>
  <c r="S11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T2" i="1"/>
  <c r="S2" i="1"/>
  <c r="S15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S154" i="1"/>
  <c r="T156" i="1"/>
  <c r="S156" i="1"/>
  <c r="T155" i="1"/>
  <c r="S153" i="1"/>
  <c r="T152" i="1"/>
  <c r="T153" i="1"/>
  <c r="T154" i="1"/>
  <c r="T143" i="1"/>
  <c r="S143" i="1"/>
  <c r="S152" i="1"/>
  <c r="T151" i="1"/>
  <c r="S151" i="1"/>
  <c r="T150" i="1"/>
  <c r="S150" i="1"/>
  <c r="T149" i="1"/>
  <c r="S149" i="1"/>
  <c r="T148" i="1"/>
  <c r="S148" i="1"/>
  <c r="T146" i="1"/>
  <c r="T147" i="1"/>
  <c r="S147" i="1"/>
  <c r="S146" i="1"/>
  <c r="T145" i="1"/>
  <c r="S145" i="1"/>
  <c r="T144" i="1"/>
  <c r="S144" i="1"/>
  <c r="T142" i="1"/>
  <c r="S142" i="1"/>
  <c r="T141" i="1"/>
  <c r="S141" i="1"/>
  <c r="T140" i="1"/>
  <c r="S140" i="1"/>
  <c r="S137" i="1"/>
  <c r="S138" i="1"/>
  <c r="S139" i="1"/>
  <c r="T137" i="1"/>
  <c r="T138" i="1"/>
  <c r="T136" i="1"/>
  <c r="T135" i="1"/>
  <c r="S136" i="1"/>
  <c r="S135" i="1"/>
  <c r="T130" i="1"/>
  <c r="S130" i="1"/>
  <c r="T127" i="1"/>
  <c r="S127" i="1"/>
  <c r="T128" i="1"/>
  <c r="S128" i="1"/>
  <c r="T129" i="1"/>
  <c r="S129" i="1"/>
  <c r="T131" i="1"/>
  <c r="S131" i="1"/>
  <c r="T133" i="1"/>
  <c r="S133" i="1"/>
  <c r="T134" i="1"/>
  <c r="S134" i="1"/>
  <c r="T115" i="1"/>
  <c r="S126" i="1"/>
  <c r="T124" i="1"/>
  <c r="T125" i="1"/>
  <c r="S124" i="1"/>
  <c r="S123" i="1"/>
  <c r="S125" i="1"/>
  <c r="T122" i="1"/>
  <c r="S122" i="1"/>
  <c r="T120" i="1"/>
  <c r="T121" i="1"/>
  <c r="S121" i="1"/>
  <c r="S117" i="1"/>
  <c r="S119" i="1"/>
  <c r="T118" i="1"/>
  <c r="S118" i="1"/>
  <c r="T116" i="1"/>
  <c r="S115" i="1"/>
  <c r="S114" i="1"/>
  <c r="S116" i="1"/>
  <c r="T102" i="1"/>
  <c r="T100" i="1"/>
  <c r="T104" i="1"/>
  <c r="T113" i="1"/>
  <c r="S113" i="1"/>
  <c r="S112" i="1"/>
  <c r="T109" i="1"/>
  <c r="T110" i="1"/>
  <c r="T111" i="1"/>
  <c r="S111" i="1"/>
  <c r="T108" i="1"/>
  <c r="S108" i="1"/>
  <c r="T107" i="1"/>
  <c r="S107" i="1"/>
  <c r="T105" i="1"/>
  <c r="S105" i="1"/>
  <c r="T103" i="1"/>
  <c r="T106" i="1"/>
  <c r="S103" i="1"/>
  <c r="S102" i="1"/>
  <c r="S104" i="1"/>
  <c r="S106" i="1"/>
  <c r="T101" i="1"/>
  <c r="S101" i="1"/>
  <c r="T80" i="1"/>
  <c r="S80" i="1"/>
  <c r="S100" i="1"/>
  <c r="T96" i="1"/>
  <c r="T97" i="1"/>
  <c r="T98" i="1"/>
  <c r="T99" i="1"/>
  <c r="S96" i="1"/>
  <c r="S97" i="1"/>
  <c r="S98" i="1"/>
  <c r="S99" i="1"/>
  <c r="S95" i="1"/>
  <c r="T95" i="1"/>
  <c r="T94" i="1"/>
  <c r="S94" i="1"/>
  <c r="T93" i="1" l="1"/>
  <c r="S93" i="1"/>
  <c r="S91" i="1" l="1"/>
  <c r="S92" i="1"/>
  <c r="T92" i="1"/>
  <c r="T91" i="1"/>
  <c r="S85" i="1" l="1"/>
  <c r="T85" i="1"/>
  <c r="S89" i="1" l="1"/>
  <c r="T89" i="1"/>
  <c r="S86" i="1"/>
  <c r="T86" i="1"/>
  <c r="T88" i="1"/>
  <c r="S88" i="1"/>
  <c r="T90" i="1"/>
  <c r="S90" i="1"/>
  <c r="T81" i="1" l="1"/>
  <c r="T82" i="1"/>
  <c r="T83" i="1"/>
  <c r="T84" i="1"/>
  <c r="S83" i="1"/>
  <c r="S84" i="1"/>
  <c r="S79" i="1" l="1"/>
  <c r="S81" i="1"/>
  <c r="S82" i="1"/>
  <c r="T79" i="1"/>
  <c r="T78" i="1"/>
  <c r="S78" i="1" l="1"/>
  <c r="T77" i="1" l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7" i="1" l="1"/>
  <c r="S67" i="1"/>
  <c r="T66" i="1"/>
  <c r="T68" i="1"/>
  <c r="S68" i="1"/>
  <c r="S66" i="1" l="1"/>
</calcChain>
</file>

<file path=xl/sharedStrings.xml><?xml version="1.0" encoding="utf-8"?>
<sst xmlns="http://schemas.openxmlformats.org/spreadsheetml/2006/main" count="2098" uniqueCount="294">
  <si>
    <t>KEY-P</t>
  </si>
  <si>
    <t>ABONADO</t>
  </si>
  <si>
    <t>CODIGO</t>
  </si>
  <si>
    <t>TIPO</t>
  </si>
  <si>
    <t>REFERENCIA</t>
  </si>
  <si>
    <t>ADMINISTRADO</t>
  </si>
  <si>
    <t>NOMBRE</t>
  </si>
  <si>
    <t>REGIONAL</t>
  </si>
  <si>
    <t>FECHA EVENTO</t>
  </si>
  <si>
    <t>DIA</t>
  </si>
  <si>
    <t>MES</t>
  </si>
  <si>
    <t>AÑO</t>
  </si>
  <si>
    <t>HORA</t>
  </si>
  <si>
    <t>HORA(Militar)</t>
  </si>
  <si>
    <t>MIN</t>
  </si>
  <si>
    <t>SEG</t>
  </si>
  <si>
    <t>HORA GESTION</t>
  </si>
  <si>
    <t>LLEGADA GAM/POLICIA</t>
  </si>
  <si>
    <t>ANS OPORTUNIDAD &lt; 1 min</t>
  </si>
  <si>
    <t>OPORTUNIDAD REACCION</t>
  </si>
  <si>
    <t>HURTO</t>
  </si>
  <si>
    <t>MODALIDAD</t>
  </si>
  <si>
    <t>SENSOR</t>
  </si>
  <si>
    <t>TIPO EVENTO</t>
  </si>
  <si>
    <t>VALOR PROTEGIDO</t>
  </si>
  <si>
    <t>VALOR PERDIDA</t>
  </si>
  <si>
    <t>CAPTURA</t>
  </si>
  <si>
    <t>PREINFORME</t>
  </si>
  <si>
    <t>INFORME</t>
  </si>
  <si>
    <t>GESTION</t>
  </si>
  <si>
    <t>OBSERVACIONES</t>
  </si>
  <si>
    <t>6026 - 6027</t>
  </si>
  <si>
    <t>ATM</t>
  </si>
  <si>
    <t xml:space="preserve">NCR modelo 6622 </t>
  </si>
  <si>
    <t>Transbank</t>
  </si>
  <si>
    <t>Placita de Flores</t>
  </si>
  <si>
    <t>Antioquia</t>
  </si>
  <si>
    <t>SI</t>
  </si>
  <si>
    <t>Vandalismo</t>
  </si>
  <si>
    <t>SUCURSAL</t>
  </si>
  <si>
    <t>Intrusion Sucursal</t>
  </si>
  <si>
    <t>No</t>
  </si>
  <si>
    <t>OK</t>
  </si>
  <si>
    <t>APROBADO</t>
  </si>
  <si>
    <t>No Llegaron alertas al sistema de alarma y video, Se atendio según los ANS, protocolos y procedimientos</t>
  </si>
  <si>
    <t>NCR 6623CP</t>
  </si>
  <si>
    <t>Guacheta</t>
  </si>
  <si>
    <t>Bogota y Sabana</t>
  </si>
  <si>
    <t>Halado con Guaya</t>
  </si>
  <si>
    <t>Daños</t>
  </si>
  <si>
    <t>Se atendio según los ANS, protocolos y procedimientos</t>
  </si>
  <si>
    <t>NCR 6623 CF</t>
  </si>
  <si>
    <t>Esso Santo Tomas</t>
  </si>
  <si>
    <t>Caribe</t>
  </si>
  <si>
    <t>cofre</t>
  </si>
  <si>
    <t>Si</t>
  </si>
  <si>
    <t>No Llegaron alertas al sistema de alarma y video</t>
  </si>
  <si>
    <t>Atlas</t>
  </si>
  <si>
    <t>Brio Puerto Vallarta</t>
  </si>
  <si>
    <t>DIEBOLD OPTEVA 522CF</t>
  </si>
  <si>
    <t>Belen</t>
  </si>
  <si>
    <t>Claves Proveedor</t>
  </si>
  <si>
    <t>Dial</t>
  </si>
  <si>
    <t>Claves</t>
  </si>
  <si>
    <t>Llego apertura con usuario autorizado de prosegur, no llegaron alertas de alarma o video</t>
  </si>
  <si>
    <t>EDS Yomasa</t>
  </si>
  <si>
    <t>El cajero estaba entulado, Se atendio según los ANS, protocolos y procedimientos</t>
  </si>
  <si>
    <t>Mall 70</t>
  </si>
  <si>
    <t>Llego apertura con usuario autorizado de prosegur, ne se atendio según los ANS, pero Si en protocolos y procedimientos</t>
  </si>
  <si>
    <t>N/A</t>
  </si>
  <si>
    <t>Morato</t>
  </si>
  <si>
    <t>Taquillazo</t>
  </si>
  <si>
    <t>Park Way</t>
  </si>
  <si>
    <t>WINCOR 280 CP</t>
  </si>
  <si>
    <t>Texaco Maximo</t>
  </si>
  <si>
    <t>Acetileno</t>
  </si>
  <si>
    <t>Wincor 280 CF</t>
  </si>
  <si>
    <t>Rio Megamercado</t>
  </si>
  <si>
    <t>Taladro</t>
  </si>
  <si>
    <t>EDS Metropolitano</t>
  </si>
  <si>
    <t>Since</t>
  </si>
  <si>
    <t>Brinks</t>
  </si>
  <si>
    <t>20 de Julio</t>
  </si>
  <si>
    <t>Cajero estaba entulado, Se atendio según los ANS, protocolos y procedimientos</t>
  </si>
  <si>
    <t>WINCOR 280CP</t>
  </si>
  <si>
    <t>Coveñas</t>
  </si>
  <si>
    <t>San Fernando</t>
  </si>
  <si>
    <t>Sur</t>
  </si>
  <si>
    <t>Quirigua</t>
  </si>
  <si>
    <t>Llego apertura con usuario autorizado de Atlas, Se atendio según los ANS, protocolos y procedimientos</t>
  </si>
  <si>
    <t>Albania</t>
  </si>
  <si>
    <t>Ventosa</t>
  </si>
  <si>
    <t>Barrio Ricaurte</t>
  </si>
  <si>
    <t>Calle Primera</t>
  </si>
  <si>
    <t>Comfama La estrella</t>
  </si>
  <si>
    <t>No se observa manipulacion de chapas, diales ni alarma, se capturan 3 delincuentes y se incauta un vehiculo</t>
  </si>
  <si>
    <t>El Plato</t>
  </si>
  <si>
    <t>6028 - 6029 - 2229</t>
  </si>
  <si>
    <t>INTREPID 5500 CF</t>
  </si>
  <si>
    <t>Toberin</t>
  </si>
  <si>
    <t>No se observa manipulacion de chapas, diales ni alarma</t>
  </si>
  <si>
    <t>WINCOR 280CF</t>
  </si>
  <si>
    <t>Llega apertura con usuario 29 de Prosegur, tambien abren fascia con llave, hubo intercambio de disparos con la reaccion GAM de andina</t>
  </si>
  <si>
    <t>Se observa manipulacion de chapas, diales y sistema de alarma</t>
  </si>
  <si>
    <t>Atm</t>
  </si>
  <si>
    <t>Sucursal</t>
  </si>
  <si>
    <t>San Andres</t>
  </si>
  <si>
    <t>NCR 6623CF</t>
  </si>
  <si>
    <t>Trinidad Galan</t>
  </si>
  <si>
    <t>Mingueo</t>
  </si>
  <si>
    <t>Restaurante Don Jorge</t>
  </si>
  <si>
    <t>Hall Versalles</t>
  </si>
  <si>
    <t>Saturacion Gas</t>
  </si>
  <si>
    <t>Esso Soacha</t>
  </si>
  <si>
    <t>Perforacion taladro</t>
  </si>
  <si>
    <t>Supermercado Coopantex</t>
  </si>
  <si>
    <t>Olimpica los lagos</t>
  </si>
  <si>
    <t>Manifestaciones</t>
  </si>
  <si>
    <t>20 de Julio 2</t>
  </si>
  <si>
    <t>20 de Julio 1</t>
  </si>
  <si>
    <t>La luna</t>
  </si>
  <si>
    <t>Supertiendas Cañaveral</t>
  </si>
  <si>
    <t>NCR 6622 CP</t>
  </si>
  <si>
    <t>Carrera 15 - 1</t>
  </si>
  <si>
    <t>Carrera 15 - 2</t>
  </si>
  <si>
    <t>Carrera 15</t>
  </si>
  <si>
    <t>Parque empresarial la granja</t>
  </si>
  <si>
    <t>Ciudad Tintal 2</t>
  </si>
  <si>
    <t>Surtimax Versalles</t>
  </si>
  <si>
    <t>Hall Autoservicios Avenida Cero</t>
  </si>
  <si>
    <t>Centro</t>
  </si>
  <si>
    <t>Madrid</t>
  </si>
  <si>
    <t>Vandalismo Dispensador</t>
  </si>
  <si>
    <t>Drogueria Manrique</t>
  </si>
  <si>
    <t>Condado Castilla</t>
  </si>
  <si>
    <t>San Andresito de Oriente</t>
  </si>
  <si>
    <t>Montevideo</t>
  </si>
  <si>
    <t>EDS Biomax Santa Marta</t>
  </si>
  <si>
    <t>Vandalismo Equipos</t>
  </si>
  <si>
    <t>Tres Esquinas</t>
  </si>
  <si>
    <t>Pida Huevo</t>
  </si>
  <si>
    <t>OPTEVA 828CF</t>
  </si>
  <si>
    <t>Calle 140</t>
  </si>
  <si>
    <t>La particion fue desarmada con claves brinks</t>
  </si>
  <si>
    <t>Los Patios</t>
  </si>
  <si>
    <t>NCR 6623 CP</t>
  </si>
  <si>
    <t>Autopista norte Copacabana</t>
  </si>
  <si>
    <t>WINCOR 280TS</t>
  </si>
  <si>
    <t>Rumbos</t>
  </si>
  <si>
    <t>Barrio Cristo Rey</t>
  </si>
  <si>
    <t>Gran Boulevard</t>
  </si>
  <si>
    <t>Restaurante don Jorge</t>
  </si>
  <si>
    <t>NO</t>
  </si>
  <si>
    <t>Wincor 280 TS CF</t>
  </si>
  <si>
    <t>Prosegur</t>
  </si>
  <si>
    <t>Yondo</t>
  </si>
  <si>
    <t>Alto Prado</t>
  </si>
  <si>
    <t>Miramar</t>
  </si>
  <si>
    <t>Las Aguas</t>
  </si>
  <si>
    <t>Galapa</t>
  </si>
  <si>
    <t>La Tertulia</t>
  </si>
  <si>
    <t>Barrio Tunjuelito</t>
  </si>
  <si>
    <t>Centro Mayor</t>
  </si>
  <si>
    <t>Carrera Primera</t>
  </si>
  <si>
    <t>Puente Aranda</t>
  </si>
  <si>
    <t>Chia Sector 40</t>
  </si>
  <si>
    <t>Springfield</t>
  </si>
  <si>
    <t>Becerril</t>
  </si>
  <si>
    <t>San Estaban IPS</t>
  </si>
  <si>
    <t>7 de Agosto</t>
  </si>
  <si>
    <t>Universidad Nacional</t>
  </si>
  <si>
    <t>La Salle</t>
  </si>
  <si>
    <t>Este evento lo reporto la red de apoyo, porque el atm no generó ninguna activacion</t>
  </si>
  <si>
    <t>La Gran Feria Campesina</t>
  </si>
  <si>
    <t>D1 San Antonio</t>
  </si>
  <si>
    <t>Barrio tunjuelito</t>
  </si>
  <si>
    <t>Avenidas las Americas 2</t>
  </si>
  <si>
    <t>Intento consecutivo en el mismo atm</t>
  </si>
  <si>
    <t>Proteccion</t>
  </si>
  <si>
    <t>Castilla</t>
  </si>
  <si>
    <t>Vandalismo con liquido inflamable</t>
  </si>
  <si>
    <t>Placita de flores</t>
  </si>
  <si>
    <t>Ruta N</t>
  </si>
  <si>
    <t>Este atm no envio incidentes. El GAM fue quien reporto la novedad en las rondas</t>
  </si>
  <si>
    <t>Local San Javier Biblioteca</t>
  </si>
  <si>
    <t>Utilizaron acetileno pero se cree que fue con claves de Proveedor</t>
  </si>
  <si>
    <t>Tequendama</t>
  </si>
  <si>
    <t>El GAM ya se encontraba en sitio desde las 15:04:27</t>
  </si>
  <si>
    <t>Diebold 5500 CF</t>
  </si>
  <si>
    <t xml:space="preserve">Olimpica San Lucas </t>
  </si>
  <si>
    <t>Polo Club</t>
  </si>
  <si>
    <t>La cuenta se encontraba en mantenimiento por lo tanto no llego el incidente a la COSFE</t>
  </si>
  <si>
    <t>Guasca</t>
  </si>
  <si>
    <t>No llego activacion de este atm porque los sensores estaban en mantenimiento</t>
  </si>
  <si>
    <t>Maicao</t>
  </si>
  <si>
    <t>La policia confirmo que todo estaba sin novedad.</t>
  </si>
  <si>
    <t>Abrego</t>
  </si>
  <si>
    <t>Ocaña</t>
  </si>
  <si>
    <t>La policia capturo 6 personas en el intento de hurto</t>
  </si>
  <si>
    <t>NCR 280 CP</t>
  </si>
  <si>
    <t>Megapizza santa gema</t>
  </si>
  <si>
    <t>Santiago de tolu</t>
  </si>
  <si>
    <t xml:space="preserve">Taquillazo por 100 mil pesos. </t>
  </si>
  <si>
    <t>Soledad</t>
  </si>
  <si>
    <t>Tulua</t>
  </si>
  <si>
    <t>Sospechoso capturado</t>
  </si>
  <si>
    <t>Calarca</t>
  </si>
  <si>
    <t>El sistema se encontraba intermitente. Novedad reportada al grupo de WP</t>
  </si>
  <si>
    <t>OPTEVA 522CF</t>
  </si>
  <si>
    <t>Villas de granada</t>
  </si>
  <si>
    <t>RIOMERCADO</t>
  </si>
  <si>
    <t xml:space="preserve">Brinks </t>
  </si>
  <si>
    <t>Biomax Santa marta</t>
  </si>
  <si>
    <t>EDS olga lucia</t>
  </si>
  <si>
    <t>Cofre</t>
  </si>
  <si>
    <t>Sobre este atm se supo al dia siguiente que era una intrusión. Los eventos que se generaron fueron diurnos</t>
  </si>
  <si>
    <t>Granada cali</t>
  </si>
  <si>
    <t>JAMUNDI</t>
  </si>
  <si>
    <t>Atentado terrorista</t>
  </si>
  <si>
    <t>Atentado terrorista a la policia que afecto la sucursal</t>
  </si>
  <si>
    <t>EDS San Andres</t>
  </si>
  <si>
    <t>Se evito con la reaccion oportuna de la falla de comunicación por video</t>
  </si>
  <si>
    <t>BRINKS</t>
  </si>
  <si>
    <t>Centro deportivo la caja</t>
  </si>
  <si>
    <t>El GAM en punto evidencia el intento de intrusión. Tenico evidencoa hurto de la NVR</t>
  </si>
  <si>
    <t>Mompox</t>
  </si>
  <si>
    <t>Llanogrande</t>
  </si>
  <si>
    <t>Barrio santa lucia</t>
  </si>
  <si>
    <t>No llego alarmas porque la sucursal se incomunico.se recibio llamada de funcionario</t>
  </si>
  <si>
    <t>FERRETODO</t>
  </si>
  <si>
    <t>Fascia</t>
  </si>
  <si>
    <t xml:space="preserve">VATCO </t>
  </si>
  <si>
    <t>Saturacion de Gas</t>
  </si>
  <si>
    <t>Hurto con saturacion de gas. La policia ni GAM pudieron entrar rapidamente hasta que la seguridad de la universidad les dio acceso a la 1 am</t>
  </si>
  <si>
    <t>BODEGUITA SURTIMAX CASTILLA</t>
  </si>
  <si>
    <t>ANTIOQUIA</t>
  </si>
  <si>
    <t>vandalismo</t>
  </si>
  <si>
    <t>SANDONA</t>
  </si>
  <si>
    <t xml:space="preserve">Taquillazo  </t>
  </si>
  <si>
    <t>BARRIO SANTA LUCIA</t>
  </si>
  <si>
    <t>CC EL JAZMIN</t>
  </si>
  <si>
    <t>Pulidora</t>
  </si>
  <si>
    <t>Vandalismo con pulidora</t>
  </si>
  <si>
    <t>CENTRO DE CONVENCIONES CARTAGENA</t>
  </si>
  <si>
    <t>No se genero incidente del cajero</t>
  </si>
  <si>
    <t>AUTOSERVICIOS CAPRI CC</t>
  </si>
  <si>
    <t>FLORALIA</t>
  </si>
  <si>
    <t>MOMPOX</t>
  </si>
  <si>
    <t>AMAGA</t>
  </si>
  <si>
    <t xml:space="preserve">VILLA CAMPESTRE </t>
  </si>
  <si>
    <t xml:space="preserve">CARIBE </t>
  </si>
  <si>
    <t xml:space="preserve">si </t>
  </si>
  <si>
    <t xml:space="preserve">TAQUILLAZO </t>
  </si>
  <si>
    <t>DIEBOLD 200A CF</t>
  </si>
  <si>
    <t>SOMBRERO VUELTIAO</t>
  </si>
  <si>
    <t>CARIBE</t>
  </si>
  <si>
    <t>CENTRO DIESEL</t>
  </si>
  <si>
    <t>intento intrusion con modalidad halado</t>
  </si>
  <si>
    <t xml:space="preserve">Instrusion </t>
  </si>
  <si>
    <t xml:space="preserve">ANTIOQUIA </t>
  </si>
  <si>
    <t>TRINIDAD</t>
  </si>
  <si>
    <t xml:space="preserve">CENTRO DEPORTIVO LA CAJA </t>
  </si>
  <si>
    <t>CP IWANA</t>
  </si>
  <si>
    <t>CENTRO</t>
  </si>
  <si>
    <t xml:space="preserve">Taquillazo atendido dentro de los tiempos ANS por la operación </t>
  </si>
  <si>
    <t>COLTABACO</t>
  </si>
  <si>
    <t xml:space="preserve">EDS SAN RAFAEL </t>
  </si>
  <si>
    <t xml:space="preserve">BOGOTA Y SABANA </t>
  </si>
  <si>
    <t xml:space="preserve">NO </t>
  </si>
  <si>
    <t>Intrusion</t>
  </si>
  <si>
    <t>RESTAURANTE DON JORGE</t>
  </si>
  <si>
    <t>BOGOTA Y SABANA</t>
  </si>
  <si>
    <t xml:space="preserve">Claves </t>
  </si>
  <si>
    <t xml:space="preserve">MOSQUERA </t>
  </si>
  <si>
    <t xml:space="preserve">Intento de intrusion </t>
  </si>
  <si>
    <t>EDS ALELI</t>
  </si>
  <si>
    <t>HALL CEDRITOS</t>
  </si>
  <si>
    <t xml:space="preserve"> EDS PUERTO VALLARTA</t>
  </si>
  <si>
    <t>CIUDAD TINTAL</t>
  </si>
  <si>
    <t xml:space="preserve">Transbank </t>
  </si>
  <si>
    <t xml:space="preserve">Vandalismo </t>
  </si>
  <si>
    <t>C.C MALAMBO</t>
  </si>
  <si>
    <t>INTRUSION ATM</t>
  </si>
  <si>
    <t>NO APROBADO</t>
  </si>
  <si>
    <t>VATCO</t>
  </si>
  <si>
    <t>BARRIO TUNJUELITO</t>
  </si>
  <si>
    <t>06</t>
  </si>
  <si>
    <t>22</t>
  </si>
  <si>
    <t>EDS PUERTO VALLARTA</t>
  </si>
  <si>
    <t>Jueves</t>
  </si>
  <si>
    <t>00</t>
  </si>
  <si>
    <t>11</t>
  </si>
  <si>
    <t>48</t>
  </si>
  <si>
    <t xml:space="preserve">$336.720.000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</si>
</sst>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0000"/>
    <numFmt numFmtId="167" formatCode="0.0"/>
    <numFmt numFmtId="168" formatCode="[$-F400]h:mm:ss\ AM/PM"/>
    <numFmt numFmtId="169" formatCode="d/mm/yyyy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5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4" fontId="0" fillId="2" borderId="1" xfId="0" applyNumberFormat="1" applyFill="1" applyBorder="1"/>
    <xf numFmtId="1" fontId="0" fillId="2" borderId="1" xfId="0" applyNumberFormat="1" applyFill="1" applyBorder="1"/>
    <xf numFmtId="21" fontId="0" fillId="2" borderId="1" xfId="0" applyNumberFormat="1" applyFill="1" applyBorder="1"/>
    <xf numFmtId="20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166" fontId="0" fillId="2" borderId="1" xfId="0" applyNumberFormat="1" applyFill="1" applyBorder="1" applyAlignment="1">
      <alignment horizontal="left"/>
    </xf>
    <xf numFmtId="21" fontId="4" fillId="2" borderId="1" xfId="0" applyNumberFormat="1" applyFont="1" applyFill="1" applyBorder="1"/>
    <xf numFmtId="0" fontId="0" fillId="2" borderId="7" xfId="0" applyFill="1" applyBorder="1" applyAlignment="1">
      <alignment horizontal="left"/>
    </xf>
    <xf numFmtId="0" fontId="0" fillId="2" borderId="7" xfId="0" applyFill="1" applyBorder="1"/>
    <xf numFmtId="1" fontId="0" fillId="2" borderId="7" xfId="0" applyNumberFormat="1" applyFill="1" applyBorder="1"/>
    <xf numFmtId="21" fontId="0" fillId="2" borderId="7" xfId="0" applyNumberFormat="1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49" fontId="2" fillId="3" borderId="2" xfId="0" applyNumberFormat="1" applyFont="1" applyFill="1" applyBorder="1" applyAlignment="1">
      <alignment horizontal="center" vertical="center" wrapText="1"/>
    </xf>
    <xf numFmtId="14" fontId="0" fillId="2" borderId="7" xfId="0" applyNumberFormat="1" applyFill="1" applyBorder="1"/>
    <xf numFmtId="0" fontId="0" fillId="0" borderId="0" xfId="0" applyAlignment="1">
      <alignment horizontal="center"/>
    </xf>
    <xf numFmtId="20" fontId="0" fillId="2" borderId="7" xfId="0" applyNumberFormat="1" applyFill="1" applyBorder="1"/>
    <xf numFmtId="49" fontId="2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1" fontId="2" fillId="4" borderId="3" xfId="0" applyNumberFormat="1" applyFont="1" applyFill="1" applyBorder="1" applyAlignment="1">
      <alignment horizontal="center" vertical="center" wrapText="1"/>
    </xf>
    <xf numFmtId="46" fontId="2" fillId="4" borderId="3" xfId="0" applyNumberFormat="1" applyFont="1" applyFill="1" applyBorder="1" applyAlignment="1">
      <alignment horizontal="center" vertical="center" wrapText="1"/>
    </xf>
    <xf numFmtId="164" fontId="2" fillId="4" borderId="3" xfId="1" applyFont="1" applyFill="1" applyBorder="1" applyAlignment="1">
      <alignment horizontal="center" vertical="center" wrapText="1"/>
    </xf>
    <xf numFmtId="164" fontId="2" fillId="4" borderId="4" xfId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21" fontId="0" fillId="2" borderId="1" xfId="0" applyNumberFormat="1" applyFill="1" applyBorder="1" applyAlignment="1">
      <alignment horizontal="right"/>
    </xf>
    <xf numFmtId="0" fontId="0" fillId="2" borderId="6" xfId="0" applyFill="1" applyBorder="1" applyAlignment="1">
      <alignment horizontal="center"/>
    </xf>
    <xf numFmtId="167" fontId="0" fillId="2" borderId="1" xfId="2" applyNumberFormat="1" applyFont="1" applyFill="1" applyBorder="1" applyAlignment="1">
      <alignment horizontal="right"/>
    </xf>
    <xf numFmtId="167" fontId="0" fillId="2" borderId="7" xfId="2" applyNumberFormat="1" applyFont="1" applyFill="1" applyBorder="1" applyAlignment="1">
      <alignment horizontal="right"/>
    </xf>
    <xf numFmtId="1" fontId="2" fillId="4" borderId="3" xfId="1" applyNumberFormat="1" applyFont="1" applyFill="1" applyBorder="1" applyAlignment="1">
      <alignment horizontal="right" vertical="center" wrapText="1"/>
    </xf>
    <xf numFmtId="1" fontId="0" fillId="2" borderId="1" xfId="2" applyNumberFormat="1" applyFont="1" applyFill="1" applyBorder="1" applyAlignment="1">
      <alignment horizontal="right"/>
    </xf>
    <xf numFmtId="1" fontId="3" fillId="2" borderId="1" xfId="1" applyNumberFormat="1" applyFont="1" applyFill="1" applyBorder="1" applyAlignment="1">
      <alignment horizontal="right"/>
    </xf>
    <xf numFmtId="1" fontId="0" fillId="2" borderId="1" xfId="0" applyNumberFormat="1" applyFill="1" applyBorder="1" applyAlignment="1">
      <alignment horizontal="right"/>
    </xf>
    <xf numFmtId="1" fontId="0" fillId="2" borderId="7" xfId="0" applyNumberFormat="1" applyFill="1" applyBorder="1" applyAlignment="1">
      <alignment horizontal="right"/>
    </xf>
    <xf numFmtId="1" fontId="0" fillId="2" borderId="7" xfId="2" applyNumberFormat="1" applyFont="1" applyFill="1" applyBorder="1" applyAlignment="1">
      <alignment horizontal="right"/>
    </xf>
    <xf numFmtId="1" fontId="0" fillId="2" borderId="0" xfId="0" applyNumberFormat="1" applyFill="1" applyAlignment="1">
      <alignment horizontal="right"/>
    </xf>
    <xf numFmtId="167" fontId="0" fillId="2" borderId="1" xfId="0" applyNumberFormat="1" applyFill="1" applyBorder="1"/>
    <xf numFmtId="21" fontId="0" fillId="2" borderId="1" xfId="0" applyNumberForma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21" fontId="4" fillId="2" borderId="1" xfId="0" applyNumberFormat="1" applyFont="1" applyFill="1" applyBorder="1" applyAlignment="1">
      <alignment horizontal="center"/>
    </xf>
    <xf numFmtId="21" fontId="0" fillId="2" borderId="7" xfId="0" applyNumberFormat="1" applyFill="1" applyBorder="1" applyAlignment="1">
      <alignment horizontal="center"/>
    </xf>
    <xf numFmtId="46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8" fontId="2" fillId="4" borderId="3" xfId="0" applyNumberFormat="1" applyFont="1" applyFill="1" applyBorder="1" applyAlignment="1">
      <alignment horizontal="center" vertical="center" wrapText="1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right"/>
    </xf>
    <xf numFmtId="168" fontId="0" fillId="2" borderId="7" xfId="0" applyNumberFormat="1" applyFill="1" applyBorder="1"/>
    <xf numFmtId="168" fontId="0" fillId="2" borderId="0" xfId="0" applyNumberFormat="1" applyFill="1"/>
    <xf numFmtId="169" fontId="0" fillId="2" borderId="1" xfId="0" applyNumberFormat="1" applyFill="1" applyBorder="1"/>
    <xf numFmtId="167" fontId="0" fillId="2" borderId="7" xfId="0" applyNumberFormat="1" applyFill="1" applyBorder="1"/>
    <xf numFmtId="167" fontId="0" fillId="2" borderId="9" xfId="0" applyNumberFormat="1" applyFill="1" applyBorder="1"/>
    <xf numFmtId="49" fontId="0" fillId="2" borderId="7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</cellXfs>
  <cellStyles count="3">
    <cellStyle name="Moneda" xfId="2" builtinId="4"/>
    <cellStyle name="Moneda [0]" xfId="1" builtinId="7"/>
    <cellStyle name="Normal" xfId="0" builtinId="0"/>
  </cellStyles>
  <dxfs count="76"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0" formatCode="&quot;$&quot;\ #,##0.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0.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8" formatCode="[$-F400]h:mm:ss\ AM/PM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6" formatCode="h:mm:ss"/>
      <fill>
        <patternFill patternType="none">
          <fgColor indexed="64"/>
          <bgColor indexed="65"/>
        </patternFill>
      </fill>
    </dxf>
    <dxf>
      <numFmt numFmtId="26" formatCode="h:mm:ss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6" formatCode="h:mm:ss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</dxf>
    <dxf>
      <numFmt numFmtId="30" formatCode="@"/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none">
          <fgColor indexed="64"/>
          <bgColor indexed="65"/>
        </patternFill>
      </fill>
    </dxf>
    <dxf>
      <numFmt numFmtId="169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d/mm/yyyy"/>
      <fill>
        <patternFill patternType="none">
          <fgColor indexed="64"/>
          <bgColor indexed="65"/>
        </patternFill>
      </fill>
    </dxf>
    <dxf>
      <numFmt numFmtId="167" formatCode="0.0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9" formatCode="d/mm/yyyy"/>
      <fill>
        <patternFill patternType="none">
          <fgColor indexed="64"/>
          <bgColor indexed="65"/>
        </patternFill>
      </fill>
    </dxf>
    <dxf>
      <numFmt numFmtId="169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d/mm/yyyy"/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DBAE0-A006-4FE3-853C-AEAEBCD6953C}" name="Tabla1" displayName="Tabla1" ref="A1:AE159" totalsRowShown="0" headerRowDxfId="65" dataDxfId="64" headerRowBorderDxfId="62" tableBorderDxfId="63" totalsRowBorderDxfId="61" headerRowCellStyle="Moneda [0]">
  <autoFilter ref="A1:AE159" xr:uid="{580DBAE0-A006-4FE3-853C-AEAEBCD6953C}"/>
  <tableColumns count="31">
    <tableColumn id="1" xr3:uid="{2111FBAA-15F6-4804-8688-7D96186250DD}" name="KEY-P" dataDxfId="59" totalsRowDxfId="60">
      <calculatedColumnFormula>B2&amp;C2&amp;D2</calculatedColumnFormula>
    </tableColumn>
    <tableColumn id="2" xr3:uid="{E82BD0C9-706F-4E0A-83F5-D111D52CABD3}" name="ABONADO" dataDxfId="57" totalsRowDxfId="58"/>
    <tableColumn id="3" xr3:uid="{2F364923-49D8-4530-83E3-A2F87E840DF8}" name="CODIGO" dataDxfId="55" totalsRowDxfId="56"/>
    <tableColumn id="4" xr3:uid="{298CADB9-5A8A-4E4D-BA2D-7FA078E63666}" name="TIPO" dataDxfId="53" totalsRowDxfId="54"/>
    <tableColumn id="5" xr3:uid="{4B30F448-F7AB-4420-B36F-C0F18B47A68C}" name="REFERENCIA" dataDxfId="51" totalsRowDxfId="52"/>
    <tableColumn id="6" xr3:uid="{F453D7AB-9862-4DC6-A28C-B643F36DA9C0}" name="ADMINISTRADO" dataDxfId="49" totalsRowDxfId="50"/>
    <tableColumn id="7" xr3:uid="{271CE344-7E2F-435C-A68E-3441B8BF9544}" name="NOMBRE" dataDxfId="47" totalsRowDxfId="48"/>
    <tableColumn id="8" xr3:uid="{90176D22-3EBD-45B4-AC6B-1C5ABBDB43BB}" name="REGIONAL" dataDxfId="45" totalsRowDxfId="46"/>
    <tableColumn id="9" xr3:uid="{25861A9F-DC9E-44D5-BD7B-761916FC071E}" name="FECHA EVENTO" dataDxfId="43" totalsRowDxfId="44"/>
    <tableColumn id="28" xr3:uid="{3648BD51-27AE-4917-9CE7-D25EB1AA776B}" name="DIA" dataDxfId="41" totalsRowDxfId="42">
      <calculatedColumnFormula>TEXT(Tabla1[[#This Row],[FECHA EVENTO]],"dddd")</calculatedColumnFormula>
    </tableColumn>
    <tableColumn id="24" xr3:uid="{3D2B3767-4175-4080-80F6-92C6CDFB77D5}" name="MES" dataDxfId="39" totalsRowDxfId="40">
      <calculatedColumnFormula>TEXT(Tabla1[[#This Row],[FECHA EVENTO]], "[$-es-ES]mmmm")</calculatedColumnFormula>
    </tableColumn>
    <tableColumn id="23" xr3:uid="{DE1D661B-19A3-4799-9B4A-C7EF56E006A3}" name="AÑO" dataDxfId="37" totalsRowDxfId="38">
      <calculatedColumnFormula>YEAR(Tabla1[[#This Row],[FECHA EVENTO]])</calculatedColumnFormula>
    </tableColumn>
    <tableColumn id="10" xr3:uid="{CD692A8B-ED90-435D-ABCF-53554133BD52}" name="HORA" dataDxfId="35" totalsRowDxfId="36"/>
    <tableColumn id="31" xr3:uid="{3015C140-8076-40C8-A2C3-B461B5DAA41A}" name="HORA(Militar)" dataDxfId="33" totalsRowDxfId="34">
      <calculatedColumnFormula>HOUR(Tabla1[[#This Row],[HORA]])</calculatedColumnFormula>
    </tableColumn>
    <tableColumn id="30" xr3:uid="{0CEEF75F-D2C0-4498-8CC1-F80BA3BE3647}" name="MIN" dataDxfId="32"/>
    <tableColumn id="29" xr3:uid="{7CB7D575-E4F2-4E57-B9CC-D5A855C343C2}" name="SEG" dataDxfId="30" totalsRowDxfId="31"/>
    <tableColumn id="11" xr3:uid="{60624DF3-DA49-48FD-AD05-F6851F62D684}" name="HORA GESTION" dataDxfId="28" totalsRowDxfId="29"/>
    <tableColumn id="12" xr3:uid="{658813F3-9431-47D3-B588-50C51C76B7E0}" name="LLEGADA GAM/POLICIA" dataDxfId="26" totalsRowDxfId="27"/>
    <tableColumn id="13" xr3:uid="{5CBB1228-81E3-4636-9425-47C370935B95}" name="ANS OPORTUNIDAD &lt; 1 min" dataDxfId="24" totalsRowDxfId="25"/>
    <tableColumn id="14" xr3:uid="{9B5B7938-A9BA-4758-830F-1C70298C84A0}" name="OPORTUNIDAD REACCION" dataDxfId="22" totalsRowDxfId="23"/>
    <tableColumn id="15" xr3:uid="{B0B19C53-D6EA-436B-BCFB-17DD43DC616B}" name="HURTO" dataDxfId="20" totalsRowDxfId="21"/>
    <tableColumn id="26" xr3:uid="{317FD7DD-D253-4C91-B547-152EC2F84696}" name="MODALIDAD" dataDxfId="18" totalsRowDxfId="19"/>
    <tableColumn id="25" xr3:uid="{BBE4B41A-BB81-4FA2-8530-6B92CC9044AF}" name="SENSOR" dataDxfId="16" totalsRowDxfId="17"/>
    <tableColumn id="27" xr3:uid="{9CA22D31-80E3-4318-A145-4EDE050CAB08}" name="TIPO EVENTO" dataDxfId="14" totalsRowDxfId="15"/>
    <tableColumn id="17" xr3:uid="{FB71F89F-0469-4D7C-9BDC-709E9A848FCD}" name="VALOR PROTEGIDO" dataDxfId="12" totalsRowDxfId="13" dataCellStyle="Moneda" totalsRowCellStyle="Moneda"/>
    <tableColumn id="18" xr3:uid="{3EBE93D0-F7AB-4270-A456-FE37B3354E48}" name="VALOR PERDIDA" dataDxfId="10" totalsRowDxfId="11"/>
    <tableColumn id="19" xr3:uid="{6CDD94A9-CFFC-4E4A-B3FF-A9F35C30AA57}" name="CAPTURA" dataDxfId="8" totalsRowDxfId="9"/>
    <tableColumn id="20" xr3:uid="{6C215AFB-A827-484B-A38F-0697E6A36B7C}" name="PREINFORME" dataDxfId="6" totalsRowDxfId="7"/>
    <tableColumn id="21" xr3:uid="{3499BA32-D634-4A2B-8972-FA4F6CC8D2EE}" name="INFORME" dataDxfId="4" totalsRowDxfId="5"/>
    <tableColumn id="16" xr3:uid="{88517D4E-EBC0-4537-8BD7-B537D3C217AF}" name="GESTION" dataDxfId="2" totalsRowDxfId="3"/>
    <tableColumn id="22" xr3:uid="{950634DB-5E00-4689-BCBC-2FC36C80836E}" name="OBSERVACIONES" dataDxfId="0" totalsRow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2951-C349-4D30-BD75-5CC3897FEFD6}">
  <dimension ref="A1:AE159"/>
  <sheetViews>
    <sheetView tabSelected="1" zoomScaleNormal="100" workbookViewId="0">
      <pane ySplit="2" topLeftCell="P138" activePane="bottomLeft" state="frozen"/>
      <selection pane="bottomLeft" activeCell="Y161" sqref="Y161"/>
      <selection activeCell="C1" sqref="C1"/>
    </sheetView>
  </sheetViews>
  <sheetFormatPr defaultColWidth="11.42578125" defaultRowHeight="15"/>
  <cols>
    <col min="1" max="1" width="9.28515625" style="2" bestFit="1" customWidth="1"/>
    <col min="2" max="2" width="12.42578125" style="2" customWidth="1"/>
    <col min="3" max="3" width="11.42578125" style="2" bestFit="1" customWidth="1"/>
    <col min="4" max="4" width="11.42578125" style="2"/>
    <col min="5" max="5" width="17" style="2" customWidth="1"/>
    <col min="6" max="6" width="18.42578125" style="2" customWidth="1"/>
    <col min="7" max="7" width="23.28515625" style="2" customWidth="1"/>
    <col min="8" max="8" width="19.85546875" style="1" customWidth="1"/>
    <col min="9" max="9" width="19.7109375" style="1" customWidth="1"/>
    <col min="10" max="10" width="11.42578125" style="1" customWidth="1"/>
    <col min="11" max="11" width="12.7109375" style="1" customWidth="1"/>
    <col min="12" max="12" width="7.5703125" style="3" bestFit="1" customWidth="1"/>
    <col min="13" max="13" width="11.5703125" style="4" customWidth="1"/>
    <col min="14" max="14" width="9.85546875" style="53" customWidth="1"/>
    <col min="15" max="16" width="12" style="4" customWidth="1"/>
    <col min="17" max="18" width="12" style="1" customWidth="1"/>
    <col min="19" max="19" width="19.5703125" style="1" customWidth="1"/>
    <col min="20" max="20" width="16.85546875" style="62" customWidth="1"/>
    <col min="21" max="21" width="11.42578125" style="4" customWidth="1"/>
    <col min="22" max="22" width="26" style="1" customWidth="1"/>
    <col min="23" max="23" width="18.5703125" style="1" customWidth="1"/>
    <col min="24" max="24" width="16.28515625" style="1" customWidth="1"/>
    <col min="25" max="25" width="23.7109375" style="4" customWidth="1"/>
    <col min="26" max="26" width="18.28515625" style="45" customWidth="1"/>
    <col min="27" max="27" width="20.28515625" style="1" bestFit="1" customWidth="1"/>
    <col min="28" max="28" width="24" style="1" bestFit="1" customWidth="1"/>
    <col min="29" max="29" width="19.28515625" style="1" bestFit="1" customWidth="1"/>
    <col min="30" max="30" width="19.28515625" style="1" customWidth="1"/>
    <col min="31" max="31" width="111.85546875" style="2" customWidth="1"/>
    <col min="37" max="37" width="23.5703125" customWidth="1"/>
  </cols>
  <sheetData>
    <row r="1" spans="1:31" s="25" customFormat="1" ht="28.9" customHeight="1">
      <c r="A1" s="23" t="s">
        <v>0</v>
      </c>
      <c r="B1" s="27" t="s">
        <v>1</v>
      </c>
      <c r="C1" s="27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9" t="s">
        <v>8</v>
      </c>
      <c r="J1" s="29" t="s">
        <v>9</v>
      </c>
      <c r="K1" s="29" t="s">
        <v>10</v>
      </c>
      <c r="L1" s="30" t="s">
        <v>11</v>
      </c>
      <c r="M1" s="51" t="s">
        <v>12</v>
      </c>
      <c r="N1" s="52" t="s">
        <v>13</v>
      </c>
      <c r="O1" s="51" t="s">
        <v>14</v>
      </c>
      <c r="P1" s="51" t="s">
        <v>15</v>
      </c>
      <c r="Q1" s="31" t="s">
        <v>16</v>
      </c>
      <c r="R1" s="31" t="s">
        <v>17</v>
      </c>
      <c r="S1" s="31" t="s">
        <v>18</v>
      </c>
      <c r="T1" s="58" t="s">
        <v>19</v>
      </c>
      <c r="U1" s="28" t="s">
        <v>20</v>
      </c>
      <c r="V1" s="34" t="s">
        <v>21</v>
      </c>
      <c r="W1" s="34" t="s">
        <v>22</v>
      </c>
      <c r="X1" s="34" t="s">
        <v>23</v>
      </c>
      <c r="Y1" s="32" t="s">
        <v>24</v>
      </c>
      <c r="Z1" s="39" t="s">
        <v>25</v>
      </c>
      <c r="AA1" s="32" t="s">
        <v>26</v>
      </c>
      <c r="AB1" s="32" t="s">
        <v>27</v>
      </c>
      <c r="AC1" s="32" t="s">
        <v>28</v>
      </c>
      <c r="AD1" s="33" t="s">
        <v>29</v>
      </c>
      <c r="AE1" s="33" t="s">
        <v>30</v>
      </c>
    </row>
    <row r="2" spans="1:31">
      <c r="A2" s="5">
        <v>99990</v>
      </c>
      <c r="B2" s="6">
        <v>7711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7" t="s">
        <v>36</v>
      </c>
      <c r="I2" s="8">
        <v>43479</v>
      </c>
      <c r="J2" s="46" t="str">
        <f>TEXT(Tabla1[[#This Row],[FECHA EVENTO]],"dddd")</f>
        <v>lunes</v>
      </c>
      <c r="K2" s="9" t="str">
        <f>TEXT(Tabla1[[#This Row],[FECHA EVENTO]], "[$-es-ES]mmmm")</f>
        <v>enero</v>
      </c>
      <c r="L2" s="9">
        <f>YEAR(Tabla1[[#This Row],[FECHA EVENTO]])</f>
        <v>2019</v>
      </c>
      <c r="M2" s="47">
        <v>9.2916666666666661E-2</v>
      </c>
      <c r="N2" s="57">
        <f>HOUR(Tabla1[[#This Row],[HORA]])</f>
        <v>2</v>
      </c>
      <c r="O2" s="57">
        <v>13</v>
      </c>
      <c r="P2" s="57">
        <v>48</v>
      </c>
      <c r="Q2" s="10">
        <v>9.3194444444444441E-2</v>
      </c>
      <c r="R2" s="10">
        <v>0.10416666666666667</v>
      </c>
      <c r="S2" s="20">
        <f>Tabla1[[#This Row],[HORA GESTION]]-Tabla1[[#This Row],[HORA]]</f>
        <v>2.7777777777777957E-4</v>
      </c>
      <c r="T2" s="59">
        <f>Tabla1[[#This Row],[LLEGADA GAM/POLICIA]]-Tabla1[[#This Row],[HORA GESTION]]</f>
        <v>1.097222222222223E-2</v>
      </c>
      <c r="U2" s="12" t="s">
        <v>37</v>
      </c>
      <c r="V2" s="7" t="s">
        <v>38</v>
      </c>
      <c r="W2" s="7" t="s">
        <v>39</v>
      </c>
      <c r="X2" s="7" t="s">
        <v>40</v>
      </c>
      <c r="Y2" s="37">
        <v>0</v>
      </c>
      <c r="Z2" s="40">
        <v>498000000</v>
      </c>
      <c r="AA2" s="12" t="s">
        <v>41</v>
      </c>
      <c r="AB2" s="12" t="s">
        <v>42</v>
      </c>
      <c r="AC2" s="12" t="s">
        <v>42</v>
      </c>
      <c r="AD2" s="36" t="s">
        <v>43</v>
      </c>
      <c r="AE2" s="13" t="s">
        <v>44</v>
      </c>
    </row>
    <row r="3" spans="1:31">
      <c r="A3" s="5">
        <v>99991</v>
      </c>
      <c r="B3" s="6">
        <v>1356</v>
      </c>
      <c r="C3" s="6">
        <v>3560</v>
      </c>
      <c r="D3" s="6" t="s">
        <v>32</v>
      </c>
      <c r="E3" s="6" t="s">
        <v>45</v>
      </c>
      <c r="F3" s="6" t="s">
        <v>39</v>
      </c>
      <c r="G3" s="6" t="s">
        <v>46</v>
      </c>
      <c r="H3" s="7" t="s">
        <v>47</v>
      </c>
      <c r="I3" s="8">
        <v>43481</v>
      </c>
      <c r="J3" s="46" t="str">
        <f>TEXT(Tabla1[[#This Row],[FECHA EVENTO]],"dddd")</f>
        <v>miércoles</v>
      </c>
      <c r="K3" s="9" t="str">
        <f>TEXT(Tabla1[[#This Row],[FECHA EVENTO]], "[$-es-ES]mmmm")</f>
        <v>enero</v>
      </c>
      <c r="L3" s="9">
        <f>YEAR(Tabla1[[#This Row],[FECHA EVENTO]])</f>
        <v>2019</v>
      </c>
      <c r="M3" s="47">
        <v>9.662037037037037E-2</v>
      </c>
      <c r="N3" s="57">
        <f>HOUR(Tabla1[[#This Row],[HORA]])</f>
        <v>2</v>
      </c>
      <c r="O3" s="57">
        <v>19</v>
      </c>
      <c r="P3" s="57">
        <v>8</v>
      </c>
      <c r="Q3" s="10">
        <v>0.10043981481481482</v>
      </c>
      <c r="R3" s="10">
        <v>0.10416666666666667</v>
      </c>
      <c r="S3" s="10">
        <f>Tabla1[[#This Row],[HORA GESTION]]-Tabla1[[#This Row],[HORA]]</f>
        <v>3.8194444444444448E-3</v>
      </c>
      <c r="T3" s="59">
        <f>Tabla1[[#This Row],[LLEGADA GAM/POLICIA]]-Tabla1[[#This Row],[HORA GESTION]]</f>
        <v>3.7268518518518562E-3</v>
      </c>
      <c r="U3" s="12" t="s">
        <v>41</v>
      </c>
      <c r="V3" s="7" t="s">
        <v>48</v>
      </c>
      <c r="W3" s="7" t="s">
        <v>32</v>
      </c>
      <c r="X3" s="7" t="s">
        <v>49</v>
      </c>
      <c r="Y3" s="37">
        <v>152920000</v>
      </c>
      <c r="Z3" s="40">
        <v>0</v>
      </c>
      <c r="AA3" s="12" t="s">
        <v>41</v>
      </c>
      <c r="AB3" s="12" t="s">
        <v>42</v>
      </c>
      <c r="AC3" s="12"/>
      <c r="AD3" s="36" t="s">
        <v>43</v>
      </c>
      <c r="AE3" s="13" t="s">
        <v>50</v>
      </c>
    </row>
    <row r="4" spans="1:31">
      <c r="A4" s="5">
        <v>99992</v>
      </c>
      <c r="B4" s="6">
        <v>9976</v>
      </c>
      <c r="C4" s="6">
        <v>38</v>
      </c>
      <c r="D4" s="6" t="s">
        <v>32</v>
      </c>
      <c r="E4" s="6" t="s">
        <v>51</v>
      </c>
      <c r="F4" s="6" t="s">
        <v>34</v>
      </c>
      <c r="G4" s="6" t="s">
        <v>52</v>
      </c>
      <c r="H4" s="7" t="s">
        <v>53</v>
      </c>
      <c r="I4" s="8">
        <v>43498</v>
      </c>
      <c r="J4" s="46" t="str">
        <f>TEXT(Tabla1[[#This Row],[FECHA EVENTO]],"dddd")</f>
        <v>sábado</v>
      </c>
      <c r="K4" s="9" t="str">
        <f>TEXT(Tabla1[[#This Row],[FECHA EVENTO]], "[$-es-ES]mmmm")</f>
        <v>febrero</v>
      </c>
      <c r="L4" s="9">
        <f>YEAR(Tabla1[[#This Row],[FECHA EVENTO]])</f>
        <v>2019</v>
      </c>
      <c r="M4" s="47"/>
      <c r="N4" s="54">
        <f>HOUR(Tabla1[[#This Row],[HORA]])</f>
        <v>0</v>
      </c>
      <c r="O4" s="54"/>
      <c r="P4" s="54"/>
      <c r="Q4" s="10"/>
      <c r="R4" s="10"/>
      <c r="S4" s="10">
        <f>Tabla1[[#This Row],[HORA GESTION]]-Tabla1[[#This Row],[HORA]]</f>
        <v>0</v>
      </c>
      <c r="T4" s="59">
        <f>Tabla1[[#This Row],[LLEGADA GAM/POLICIA]]-Tabla1[[#This Row],[HORA GESTION]]</f>
        <v>0</v>
      </c>
      <c r="U4" s="12" t="s">
        <v>41</v>
      </c>
      <c r="V4" s="7" t="s">
        <v>38</v>
      </c>
      <c r="W4" s="7" t="s">
        <v>54</v>
      </c>
      <c r="X4" s="7" t="s">
        <v>49</v>
      </c>
      <c r="Y4" s="37">
        <v>227280000</v>
      </c>
      <c r="Z4" s="40">
        <v>0</v>
      </c>
      <c r="AA4" s="12" t="s">
        <v>55</v>
      </c>
      <c r="AB4" s="12" t="s">
        <v>42</v>
      </c>
      <c r="AC4" s="12"/>
      <c r="AD4" s="36" t="s">
        <v>43</v>
      </c>
      <c r="AE4" s="13" t="s">
        <v>56</v>
      </c>
    </row>
    <row r="5" spans="1:31">
      <c r="A5" s="5">
        <v>99993</v>
      </c>
      <c r="B5" s="6">
        <v>8892</v>
      </c>
      <c r="C5" s="6">
        <v>7622</v>
      </c>
      <c r="D5" s="6" t="s">
        <v>32</v>
      </c>
      <c r="E5" s="6" t="s">
        <v>51</v>
      </c>
      <c r="F5" s="6" t="s">
        <v>57</v>
      </c>
      <c r="G5" s="6" t="s">
        <v>58</v>
      </c>
      <c r="H5" s="7" t="s">
        <v>47</v>
      </c>
      <c r="I5" s="8">
        <v>43516</v>
      </c>
      <c r="J5" s="46" t="str">
        <f>TEXT(Tabla1[[#This Row],[FECHA EVENTO]],"dddd")</f>
        <v>miércoles</v>
      </c>
      <c r="K5" s="9" t="str">
        <f>TEXT(Tabla1[[#This Row],[FECHA EVENTO]], "[$-es-ES]mmmm")</f>
        <v>febrero</v>
      </c>
      <c r="L5" s="9">
        <f>YEAR(Tabla1[[#This Row],[FECHA EVENTO]])</f>
        <v>2019</v>
      </c>
      <c r="M5" s="47">
        <v>0.14693287037037037</v>
      </c>
      <c r="N5" s="54">
        <f>HOUR(Tabla1[[#This Row],[HORA]])</f>
        <v>3</v>
      </c>
      <c r="O5" s="54">
        <v>31</v>
      </c>
      <c r="P5" s="54">
        <v>35</v>
      </c>
      <c r="Q5" s="10">
        <v>0.14699074074074073</v>
      </c>
      <c r="R5" s="10">
        <v>0.15277777777777779</v>
      </c>
      <c r="S5" s="10">
        <f>Tabla1[[#This Row],[HORA GESTION]]-Tabla1[[#This Row],[HORA]]</f>
        <v>5.7870370370360913E-5</v>
      </c>
      <c r="T5" s="59">
        <f>Tabla1[[#This Row],[LLEGADA GAM/POLICIA]]-Tabla1[[#This Row],[HORA GESTION]]</f>
        <v>5.7870370370370627E-3</v>
      </c>
      <c r="U5" s="12" t="s">
        <v>41</v>
      </c>
      <c r="V5" s="7" t="s">
        <v>48</v>
      </c>
      <c r="W5" s="7" t="s">
        <v>32</v>
      </c>
      <c r="X5" s="7" t="s">
        <v>49</v>
      </c>
      <c r="Y5" s="37">
        <v>102500000</v>
      </c>
      <c r="Z5" s="40">
        <v>0</v>
      </c>
      <c r="AA5" s="12" t="s">
        <v>41</v>
      </c>
      <c r="AB5" s="12" t="s">
        <v>42</v>
      </c>
      <c r="AC5" s="12"/>
      <c r="AD5" s="36" t="s">
        <v>43</v>
      </c>
      <c r="AE5" s="13" t="s">
        <v>50</v>
      </c>
    </row>
    <row r="6" spans="1:31">
      <c r="A6" s="5">
        <v>99994</v>
      </c>
      <c r="B6" s="6">
        <v>1614</v>
      </c>
      <c r="C6" s="6">
        <v>1819</v>
      </c>
      <c r="D6" s="6" t="s">
        <v>32</v>
      </c>
      <c r="E6" s="6" t="s">
        <v>59</v>
      </c>
      <c r="F6" s="6" t="s">
        <v>39</v>
      </c>
      <c r="G6" s="6" t="s">
        <v>60</v>
      </c>
      <c r="H6" s="7" t="s">
        <v>36</v>
      </c>
      <c r="I6" s="8">
        <v>43534</v>
      </c>
      <c r="J6" s="46" t="str">
        <f>TEXT(Tabla1[[#This Row],[FECHA EVENTO]],"dddd")</f>
        <v>domingo</v>
      </c>
      <c r="K6" s="9" t="str">
        <f>TEXT(Tabla1[[#This Row],[FECHA EVENTO]], "[$-es-ES]mmmm")</f>
        <v>marzo</v>
      </c>
      <c r="L6" s="9">
        <f>YEAR(Tabla1[[#This Row],[FECHA EVENTO]])</f>
        <v>2019</v>
      </c>
      <c r="M6" s="47"/>
      <c r="N6" s="54">
        <f>HOUR(Tabla1[[#This Row],[HORA]])</f>
        <v>0</v>
      </c>
      <c r="O6" s="54"/>
      <c r="P6" s="54"/>
      <c r="Q6" s="10"/>
      <c r="R6" s="10"/>
      <c r="S6" s="10">
        <f>Tabla1[[#This Row],[HORA GESTION]]-Tabla1[[#This Row],[HORA]]</f>
        <v>0</v>
      </c>
      <c r="T6" s="59">
        <f>Tabla1[[#This Row],[LLEGADA GAM/POLICIA]]-Tabla1[[#This Row],[HORA GESTION]]</f>
        <v>0</v>
      </c>
      <c r="U6" s="12" t="s">
        <v>37</v>
      </c>
      <c r="V6" s="7" t="s">
        <v>61</v>
      </c>
      <c r="W6" s="7" t="s">
        <v>62</v>
      </c>
      <c r="X6" s="7" t="s">
        <v>63</v>
      </c>
      <c r="Y6" s="37">
        <v>0</v>
      </c>
      <c r="Z6" s="40">
        <v>244300000</v>
      </c>
      <c r="AA6" s="12" t="s">
        <v>41</v>
      </c>
      <c r="AB6" s="12" t="s">
        <v>42</v>
      </c>
      <c r="AC6" s="12" t="s">
        <v>42</v>
      </c>
      <c r="AD6" s="36" t="s">
        <v>43</v>
      </c>
      <c r="AE6" s="13" t="s">
        <v>64</v>
      </c>
    </row>
    <row r="7" spans="1:31">
      <c r="A7" s="5">
        <v>99995</v>
      </c>
      <c r="B7" s="6">
        <v>9839</v>
      </c>
      <c r="C7" s="6">
        <v>2577</v>
      </c>
      <c r="D7" s="6" t="s">
        <v>32</v>
      </c>
      <c r="E7" s="6" t="s">
        <v>51</v>
      </c>
      <c r="F7" s="6" t="s">
        <v>34</v>
      </c>
      <c r="G7" s="6" t="s">
        <v>65</v>
      </c>
      <c r="H7" s="7" t="s">
        <v>47</v>
      </c>
      <c r="I7" s="8">
        <v>43568</v>
      </c>
      <c r="J7" s="46" t="str">
        <f>TEXT(Tabla1[[#This Row],[FECHA EVENTO]],"dddd")</f>
        <v>sábado</v>
      </c>
      <c r="K7" s="9" t="str">
        <f>TEXT(Tabla1[[#This Row],[FECHA EVENTO]], "[$-es-ES]mmmm")</f>
        <v>abril</v>
      </c>
      <c r="L7" s="9">
        <f>YEAR(Tabla1[[#This Row],[FECHA EVENTO]])</f>
        <v>2019</v>
      </c>
      <c r="M7" s="47">
        <v>0.37111111111111111</v>
      </c>
      <c r="N7" s="54">
        <f>HOUR(Tabla1[[#This Row],[HORA]])</f>
        <v>8</v>
      </c>
      <c r="O7" s="54">
        <v>54</v>
      </c>
      <c r="P7" s="54">
        <v>24</v>
      </c>
      <c r="Q7" s="10">
        <v>0.37119212962962961</v>
      </c>
      <c r="R7" s="10">
        <v>0.39027777777777778</v>
      </c>
      <c r="S7" s="10">
        <f>Tabla1[[#This Row],[HORA GESTION]]-Tabla1[[#This Row],[HORA]]</f>
        <v>8.1018518518494176E-5</v>
      </c>
      <c r="T7" s="59">
        <f>Tabla1[[#This Row],[LLEGADA GAM/POLICIA]]-Tabla1[[#This Row],[HORA GESTION]]</f>
        <v>1.9085648148148171E-2</v>
      </c>
      <c r="U7" s="12" t="s">
        <v>41</v>
      </c>
      <c r="V7" s="7" t="s">
        <v>61</v>
      </c>
      <c r="W7" s="7" t="s">
        <v>62</v>
      </c>
      <c r="X7" s="7" t="s">
        <v>63</v>
      </c>
      <c r="Y7" s="37">
        <v>0</v>
      </c>
      <c r="Z7" s="40">
        <v>0</v>
      </c>
      <c r="AA7" s="12" t="s">
        <v>41</v>
      </c>
      <c r="AB7" s="12" t="s">
        <v>42</v>
      </c>
      <c r="AC7" s="12"/>
      <c r="AD7" s="36" t="s">
        <v>43</v>
      </c>
      <c r="AE7" s="13" t="s">
        <v>66</v>
      </c>
    </row>
    <row r="8" spans="1:31">
      <c r="A8" s="5">
        <v>99996</v>
      </c>
      <c r="B8" s="6">
        <v>7532</v>
      </c>
      <c r="C8" s="6">
        <v>3789</v>
      </c>
      <c r="D8" s="6" t="s">
        <v>32</v>
      </c>
      <c r="E8" s="6" t="s">
        <v>59</v>
      </c>
      <c r="F8" s="6" t="s">
        <v>57</v>
      </c>
      <c r="G8" s="6" t="s">
        <v>67</v>
      </c>
      <c r="H8" s="7" t="s">
        <v>36</v>
      </c>
      <c r="I8" s="8">
        <v>43607</v>
      </c>
      <c r="J8" s="46" t="str">
        <f>TEXT(Tabla1[[#This Row],[FECHA EVENTO]],"dddd")</f>
        <v>miércoles</v>
      </c>
      <c r="K8" s="9" t="str">
        <f>TEXT(Tabla1[[#This Row],[FECHA EVENTO]], "[$-es-ES]mmmm")</f>
        <v>mayo</v>
      </c>
      <c r="L8" s="9">
        <f>YEAR(Tabla1[[#This Row],[FECHA EVENTO]])</f>
        <v>2019</v>
      </c>
      <c r="M8" s="47">
        <v>0.35753472222222221</v>
      </c>
      <c r="N8" s="54">
        <f>HOUR(Tabla1[[#This Row],[HORA]])</f>
        <v>8</v>
      </c>
      <c r="O8" s="54">
        <v>34</v>
      </c>
      <c r="P8" s="54">
        <v>51</v>
      </c>
      <c r="Q8" s="10">
        <v>0.36194444444444446</v>
      </c>
      <c r="R8" s="10">
        <v>0.36738425925925927</v>
      </c>
      <c r="S8" s="10">
        <f>Tabla1[[#This Row],[HORA GESTION]]-Tabla1[[#This Row],[HORA]]</f>
        <v>4.4097222222222454E-3</v>
      </c>
      <c r="T8" s="59">
        <f>Tabla1[[#This Row],[LLEGADA GAM/POLICIA]]-Tabla1[[#This Row],[HORA GESTION]]</f>
        <v>5.439814814814814E-3</v>
      </c>
      <c r="U8" s="12" t="s">
        <v>37</v>
      </c>
      <c r="V8" s="7" t="s">
        <v>61</v>
      </c>
      <c r="W8" s="7" t="s">
        <v>62</v>
      </c>
      <c r="X8" s="7" t="s">
        <v>63</v>
      </c>
      <c r="Y8" s="37">
        <v>0</v>
      </c>
      <c r="Z8" s="40">
        <v>215390000</v>
      </c>
      <c r="AA8" s="12" t="s">
        <v>41</v>
      </c>
      <c r="AB8" s="12" t="s">
        <v>42</v>
      </c>
      <c r="AC8" s="12" t="s">
        <v>42</v>
      </c>
      <c r="AD8" s="36" t="s">
        <v>43</v>
      </c>
      <c r="AE8" s="13" t="s">
        <v>68</v>
      </c>
    </row>
    <row r="9" spans="1:31">
      <c r="A9" s="5">
        <v>99997</v>
      </c>
      <c r="B9" s="6">
        <v>1207</v>
      </c>
      <c r="C9" s="6">
        <v>207</v>
      </c>
      <c r="D9" s="6" t="s">
        <v>39</v>
      </c>
      <c r="E9" s="6" t="s">
        <v>69</v>
      </c>
      <c r="F9" s="6" t="s">
        <v>39</v>
      </c>
      <c r="G9" s="6" t="s">
        <v>70</v>
      </c>
      <c r="H9" s="7" t="s">
        <v>47</v>
      </c>
      <c r="I9" s="8">
        <v>43608</v>
      </c>
      <c r="J9" s="46" t="str">
        <f>TEXT(Tabla1[[#This Row],[FECHA EVENTO]],"dddd")</f>
        <v>jueves</v>
      </c>
      <c r="K9" s="9" t="str">
        <f>TEXT(Tabla1[[#This Row],[FECHA EVENTO]], "[$-es-ES]mmmm")</f>
        <v>mayo</v>
      </c>
      <c r="L9" s="9">
        <f>YEAR(Tabla1[[#This Row],[FECHA EVENTO]])</f>
        <v>2019</v>
      </c>
      <c r="M9" s="47"/>
      <c r="N9" s="54">
        <f>HOUR(Tabla1[[#This Row],[HORA]])</f>
        <v>0</v>
      </c>
      <c r="O9" s="54"/>
      <c r="P9" s="54"/>
      <c r="Q9" s="10"/>
      <c r="R9" s="10"/>
      <c r="S9" s="10">
        <f>Tabla1[[#This Row],[HORA GESTION]]-Tabla1[[#This Row],[HORA]]</f>
        <v>0</v>
      </c>
      <c r="T9" s="59">
        <f>Tabla1[[#This Row],[LLEGADA GAM/POLICIA]]-Tabla1[[#This Row],[HORA GESTION]]</f>
        <v>0</v>
      </c>
      <c r="U9" s="12" t="s">
        <v>37</v>
      </c>
      <c r="V9" s="7" t="s">
        <v>71</v>
      </c>
      <c r="W9" s="7" t="s">
        <v>39</v>
      </c>
      <c r="X9" s="7" t="s">
        <v>71</v>
      </c>
      <c r="Y9" s="37">
        <v>0</v>
      </c>
      <c r="Z9" s="40">
        <v>11483899</v>
      </c>
      <c r="AA9" s="12" t="s">
        <v>41</v>
      </c>
      <c r="AB9" s="12" t="s">
        <v>42</v>
      </c>
      <c r="AC9" s="12" t="s">
        <v>42</v>
      </c>
      <c r="AD9" s="36" t="s">
        <v>43</v>
      </c>
      <c r="AE9" s="13" t="s">
        <v>50</v>
      </c>
    </row>
    <row r="10" spans="1:31">
      <c r="A10" s="5">
        <v>99998</v>
      </c>
      <c r="B10" s="6">
        <v>1666</v>
      </c>
      <c r="C10" s="6">
        <v>666</v>
      </c>
      <c r="D10" s="6" t="s">
        <v>39</v>
      </c>
      <c r="E10" s="6" t="s">
        <v>69</v>
      </c>
      <c r="F10" s="6" t="s">
        <v>39</v>
      </c>
      <c r="G10" s="6" t="s">
        <v>72</v>
      </c>
      <c r="H10" s="7" t="s">
        <v>47</v>
      </c>
      <c r="I10" s="8">
        <v>43671</v>
      </c>
      <c r="J10" s="46" t="str">
        <f>TEXT(Tabla1[[#This Row],[FECHA EVENTO]],"dddd")</f>
        <v>jueves</v>
      </c>
      <c r="K10" s="9" t="str">
        <f>TEXT(Tabla1[[#This Row],[FECHA EVENTO]], "[$-es-ES]mmmm")</f>
        <v>julio</v>
      </c>
      <c r="L10" s="9">
        <f>YEAR(Tabla1[[#This Row],[FECHA EVENTO]])</f>
        <v>2019</v>
      </c>
      <c r="M10" s="47">
        <v>0.52961805555555552</v>
      </c>
      <c r="N10" s="54">
        <f>HOUR(Tabla1[[#This Row],[HORA]])</f>
        <v>12</v>
      </c>
      <c r="O10" s="54">
        <v>42</v>
      </c>
      <c r="P10" s="54">
        <v>39</v>
      </c>
      <c r="Q10" s="10">
        <v>0.52975694444444443</v>
      </c>
      <c r="R10" s="10">
        <v>0.62187499999999996</v>
      </c>
      <c r="S10" s="10">
        <f>Tabla1[[#This Row],[HORA GESTION]]-Tabla1[[#This Row],[HORA]]</f>
        <v>1.388888888889106E-4</v>
      </c>
      <c r="T10" s="59">
        <f>Tabla1[[#This Row],[LLEGADA GAM/POLICIA]]-Tabla1[[#This Row],[HORA GESTION]]</f>
        <v>9.2118055555555522E-2</v>
      </c>
      <c r="U10" s="12" t="s">
        <v>37</v>
      </c>
      <c r="V10" s="7" t="s">
        <v>71</v>
      </c>
      <c r="W10" s="7" t="s">
        <v>39</v>
      </c>
      <c r="X10" s="7" t="s">
        <v>71</v>
      </c>
      <c r="Y10" s="37">
        <v>0</v>
      </c>
      <c r="Z10" s="40">
        <v>2497144</v>
      </c>
      <c r="AA10" s="12" t="s">
        <v>41</v>
      </c>
      <c r="AB10" s="12" t="s">
        <v>42</v>
      </c>
      <c r="AC10" s="12" t="s">
        <v>42</v>
      </c>
      <c r="AD10" s="36" t="s">
        <v>43</v>
      </c>
      <c r="AE10" s="13" t="s">
        <v>50</v>
      </c>
    </row>
    <row r="11" spans="1:31">
      <c r="A11" s="5">
        <v>99999</v>
      </c>
      <c r="B11" s="6">
        <v>1666</v>
      </c>
      <c r="C11" s="6">
        <v>666</v>
      </c>
      <c r="D11" s="6" t="s">
        <v>39</v>
      </c>
      <c r="E11" s="6" t="s">
        <v>69</v>
      </c>
      <c r="F11" s="6" t="s">
        <v>39</v>
      </c>
      <c r="G11" s="6" t="s">
        <v>72</v>
      </c>
      <c r="H11" s="7" t="s">
        <v>47</v>
      </c>
      <c r="I11" s="8">
        <v>43679</v>
      </c>
      <c r="J11" s="46" t="str">
        <f>TEXT(Tabla1[[#This Row],[FECHA EVENTO]],"dddd")</f>
        <v>viernes</v>
      </c>
      <c r="K11" s="9" t="str">
        <f>TEXT(Tabla1[[#This Row],[FECHA EVENTO]], "[$-es-ES]mmmm")</f>
        <v>agosto</v>
      </c>
      <c r="L11" s="9">
        <f>YEAR(Tabla1[[#This Row],[FECHA EVENTO]])</f>
        <v>2019</v>
      </c>
      <c r="M11" s="47">
        <v>0.41781249999999998</v>
      </c>
      <c r="N11" s="54">
        <f>HOUR(Tabla1[[#This Row],[HORA]])</f>
        <v>10</v>
      </c>
      <c r="O11" s="54">
        <v>1</v>
      </c>
      <c r="P11" s="54">
        <v>39</v>
      </c>
      <c r="Q11" s="10">
        <v>0.41800925925925925</v>
      </c>
      <c r="R11" s="10">
        <v>0.42103009259259261</v>
      </c>
      <c r="S11" s="10">
        <f>Tabla1[[#This Row],[HORA GESTION]]-Tabla1[[#This Row],[HORA]]</f>
        <v>1.9675925925927151E-4</v>
      </c>
      <c r="T11" s="59">
        <f>Tabla1[[#This Row],[LLEGADA GAM/POLICIA]]-Tabla1[[#This Row],[HORA GESTION]]</f>
        <v>3.0208333333333615E-3</v>
      </c>
      <c r="U11" s="12" t="s">
        <v>37</v>
      </c>
      <c r="V11" s="7" t="s">
        <v>71</v>
      </c>
      <c r="W11" s="7" t="s">
        <v>39</v>
      </c>
      <c r="X11" s="7" t="s">
        <v>71</v>
      </c>
      <c r="Y11" s="37">
        <v>0</v>
      </c>
      <c r="Z11" s="40">
        <v>957699</v>
      </c>
      <c r="AA11" s="12" t="s">
        <v>41</v>
      </c>
      <c r="AB11" s="12" t="s">
        <v>42</v>
      </c>
      <c r="AC11" s="12" t="s">
        <v>42</v>
      </c>
      <c r="AD11" s="36" t="s">
        <v>43</v>
      </c>
      <c r="AE11" s="13" t="s">
        <v>50</v>
      </c>
    </row>
    <row r="12" spans="1:31">
      <c r="A12" s="5">
        <v>100000</v>
      </c>
      <c r="B12" s="6">
        <v>9301</v>
      </c>
      <c r="C12" s="6">
        <v>5981</v>
      </c>
      <c r="D12" s="6" t="s">
        <v>32</v>
      </c>
      <c r="E12" s="6" t="s">
        <v>73</v>
      </c>
      <c r="F12" s="6" t="s">
        <v>34</v>
      </c>
      <c r="G12" s="6" t="s">
        <v>74</v>
      </c>
      <c r="H12" s="7" t="s">
        <v>36</v>
      </c>
      <c r="I12" s="8">
        <v>43696</v>
      </c>
      <c r="J12" s="46" t="str">
        <f>TEXT(Tabla1[[#This Row],[FECHA EVENTO]],"dddd")</f>
        <v>lunes</v>
      </c>
      <c r="K12" s="9" t="str">
        <f>TEXT(Tabla1[[#This Row],[FECHA EVENTO]], "[$-es-ES]mmmm")</f>
        <v>agosto</v>
      </c>
      <c r="L12" s="9">
        <f>YEAR(Tabla1[[#This Row],[FECHA EVENTO]])</f>
        <v>2019</v>
      </c>
      <c r="M12" s="47">
        <v>0.12886574074074075</v>
      </c>
      <c r="N12" s="54">
        <f>HOUR(Tabla1[[#This Row],[HORA]])</f>
        <v>3</v>
      </c>
      <c r="O12" s="54">
        <v>5</v>
      </c>
      <c r="P12" s="54">
        <v>34</v>
      </c>
      <c r="Q12" s="10">
        <v>0.12997685185185184</v>
      </c>
      <c r="R12" s="10">
        <v>0.13472222222222222</v>
      </c>
      <c r="S12" s="10"/>
      <c r="T12" s="59">
        <f>Tabla1[[#This Row],[LLEGADA GAM/POLICIA]]-Tabla1[[#This Row],[HORA GESTION]]</f>
        <v>4.745370370370372E-3</v>
      </c>
      <c r="U12" s="12" t="s">
        <v>41</v>
      </c>
      <c r="V12" s="7" t="s">
        <v>38</v>
      </c>
      <c r="W12" s="7" t="s">
        <v>32</v>
      </c>
      <c r="X12" s="7" t="s">
        <v>75</v>
      </c>
      <c r="Y12" s="37">
        <v>195300000</v>
      </c>
      <c r="Z12" s="40">
        <v>0</v>
      </c>
      <c r="AA12" s="12" t="s">
        <v>41</v>
      </c>
      <c r="AB12" s="12" t="s">
        <v>42</v>
      </c>
      <c r="AC12" s="12"/>
      <c r="AD12" s="36" t="s">
        <v>43</v>
      </c>
      <c r="AE12" s="13" t="s">
        <v>50</v>
      </c>
    </row>
    <row r="13" spans="1:31">
      <c r="A13" s="5">
        <v>100001</v>
      </c>
      <c r="B13" s="6">
        <v>7409</v>
      </c>
      <c r="C13" s="6">
        <v>7505</v>
      </c>
      <c r="D13" s="6" t="s">
        <v>32</v>
      </c>
      <c r="E13" s="6" t="s">
        <v>76</v>
      </c>
      <c r="F13" s="6" t="s">
        <v>57</v>
      </c>
      <c r="G13" s="6" t="s">
        <v>77</v>
      </c>
      <c r="H13" s="7" t="s">
        <v>47</v>
      </c>
      <c r="I13" s="8">
        <v>43702</v>
      </c>
      <c r="J13" s="46" t="str">
        <f>TEXT(Tabla1[[#This Row],[FECHA EVENTO]],"dddd")</f>
        <v>domingo</v>
      </c>
      <c r="K13" s="9" t="str">
        <f>TEXT(Tabla1[[#This Row],[FECHA EVENTO]], "[$-es-ES]mmmm")</f>
        <v>agosto</v>
      </c>
      <c r="L13" s="9">
        <f>YEAR(Tabla1[[#This Row],[FECHA EVENTO]])</f>
        <v>2019</v>
      </c>
      <c r="M13" s="47">
        <v>0.44995370370370369</v>
      </c>
      <c r="N13" s="54">
        <f>HOUR(Tabla1[[#This Row],[HORA]])</f>
        <v>10</v>
      </c>
      <c r="O13" s="54">
        <v>47</v>
      </c>
      <c r="P13" s="54">
        <v>56</v>
      </c>
      <c r="Q13" s="10">
        <v>0.45407407407407407</v>
      </c>
      <c r="R13" s="10">
        <v>0.53402777777777777</v>
      </c>
      <c r="S13" s="10">
        <f>Tabla1[[#This Row],[HORA GESTION]]-Tabla1[[#This Row],[HORA]]</f>
        <v>4.1203703703703853E-3</v>
      </c>
      <c r="T13" s="59">
        <f>Tabla1[[#This Row],[LLEGADA GAM/POLICIA]]-Tabla1[[#This Row],[HORA GESTION]]</f>
        <v>7.9953703703703694E-2</v>
      </c>
      <c r="U13" s="12" t="s">
        <v>41</v>
      </c>
      <c r="V13" s="7" t="s">
        <v>38</v>
      </c>
      <c r="W13" s="7" t="s">
        <v>54</v>
      </c>
      <c r="X13" s="7" t="s">
        <v>78</v>
      </c>
      <c r="Y13" s="37">
        <v>223850000</v>
      </c>
      <c r="Z13" s="40">
        <v>0</v>
      </c>
      <c r="AA13" s="12" t="s">
        <v>41</v>
      </c>
      <c r="AB13" s="12" t="s">
        <v>42</v>
      </c>
      <c r="AC13" s="12"/>
      <c r="AD13" s="36" t="s">
        <v>43</v>
      </c>
      <c r="AE13" s="13" t="s">
        <v>50</v>
      </c>
    </row>
    <row r="14" spans="1:31">
      <c r="A14" s="5">
        <v>100002</v>
      </c>
      <c r="B14" s="6">
        <v>7399</v>
      </c>
      <c r="C14" s="6">
        <v>7539</v>
      </c>
      <c r="D14" s="6" t="s">
        <v>32</v>
      </c>
      <c r="E14" s="6" t="s">
        <v>51</v>
      </c>
      <c r="F14" s="6" t="s">
        <v>57</v>
      </c>
      <c r="G14" s="6" t="s">
        <v>79</v>
      </c>
      <c r="H14" s="7" t="s">
        <v>53</v>
      </c>
      <c r="I14" s="8">
        <v>43703</v>
      </c>
      <c r="J14" s="46" t="str">
        <f>TEXT(Tabla1[[#This Row],[FECHA EVENTO]],"dddd")</f>
        <v>lunes</v>
      </c>
      <c r="K14" s="9" t="str">
        <f>TEXT(Tabla1[[#This Row],[FECHA EVENTO]], "[$-es-ES]mmmm")</f>
        <v>agosto</v>
      </c>
      <c r="L14" s="9">
        <f>YEAR(Tabla1[[#This Row],[FECHA EVENTO]])</f>
        <v>2019</v>
      </c>
      <c r="M14" s="47">
        <v>0.56855324074074076</v>
      </c>
      <c r="N14" s="54">
        <f>HOUR(Tabla1[[#This Row],[HORA]])</f>
        <v>13</v>
      </c>
      <c r="O14" s="54">
        <v>38</v>
      </c>
      <c r="P14" s="54">
        <v>43</v>
      </c>
      <c r="Q14" s="10">
        <v>0.58081018518518523</v>
      </c>
      <c r="R14" s="10">
        <v>0.62210648148148151</v>
      </c>
      <c r="S14" s="10">
        <f>Tabla1[[#This Row],[HORA GESTION]]-Tabla1[[#This Row],[HORA]]</f>
        <v>1.2256944444444473E-2</v>
      </c>
      <c r="T14" s="59">
        <f>Tabla1[[#This Row],[LLEGADA GAM/POLICIA]]-Tabla1[[#This Row],[HORA GESTION]]</f>
        <v>4.1296296296296275E-2</v>
      </c>
      <c r="U14" s="12" t="s">
        <v>41</v>
      </c>
      <c r="V14" s="7" t="s">
        <v>38</v>
      </c>
      <c r="W14" s="7" t="s">
        <v>54</v>
      </c>
      <c r="X14" s="7" t="s">
        <v>78</v>
      </c>
      <c r="Y14" s="37">
        <v>284950000</v>
      </c>
      <c r="Z14" s="40">
        <v>0</v>
      </c>
      <c r="AA14" s="12" t="s">
        <v>41</v>
      </c>
      <c r="AB14" s="12" t="s">
        <v>42</v>
      </c>
      <c r="AC14" s="12"/>
      <c r="AD14" s="36" t="s">
        <v>43</v>
      </c>
      <c r="AE14" s="13" t="s">
        <v>50</v>
      </c>
    </row>
    <row r="15" spans="1:31">
      <c r="A15" s="5">
        <v>100003</v>
      </c>
      <c r="B15" s="6">
        <v>1826</v>
      </c>
      <c r="C15" s="6">
        <v>826</v>
      </c>
      <c r="D15" s="6" t="s">
        <v>39</v>
      </c>
      <c r="E15" s="6" t="s">
        <v>69</v>
      </c>
      <c r="F15" s="6" t="s">
        <v>39</v>
      </c>
      <c r="G15" s="6" t="s">
        <v>80</v>
      </c>
      <c r="H15" s="7" t="s">
        <v>53</v>
      </c>
      <c r="I15" s="8">
        <v>43711</v>
      </c>
      <c r="J15" s="46" t="str">
        <f>TEXT(Tabla1[[#This Row],[FECHA EVENTO]],"dddd")</f>
        <v>martes</v>
      </c>
      <c r="K15" s="9" t="str">
        <f>TEXT(Tabla1[[#This Row],[FECHA EVENTO]], "[$-es-ES]mmmm")</f>
        <v>septiembre</v>
      </c>
      <c r="L15" s="9">
        <f>YEAR(Tabla1[[#This Row],[FECHA EVENTO]])</f>
        <v>2019</v>
      </c>
      <c r="M15" s="47">
        <v>0.44996527777777778</v>
      </c>
      <c r="N15" s="54">
        <f>HOUR(Tabla1[[#This Row],[HORA]])</f>
        <v>10</v>
      </c>
      <c r="O15" s="54">
        <v>47</v>
      </c>
      <c r="P15" s="54">
        <v>57</v>
      </c>
      <c r="Q15" s="10">
        <v>0.45068287037037036</v>
      </c>
      <c r="R15" s="10">
        <v>0.45694444444444443</v>
      </c>
      <c r="S15" s="10">
        <f>Tabla1[[#This Row],[HORA GESTION]]-Tabla1[[#This Row],[HORA]]</f>
        <v>7.1759259259257524E-4</v>
      </c>
      <c r="T15" s="59">
        <f>Tabla1[[#This Row],[LLEGADA GAM/POLICIA]]-Tabla1[[#This Row],[HORA GESTION]]</f>
        <v>6.2615740740740722E-3</v>
      </c>
      <c r="U15" s="12" t="s">
        <v>37</v>
      </c>
      <c r="V15" s="7" t="s">
        <v>71</v>
      </c>
      <c r="W15" s="7" t="s">
        <v>39</v>
      </c>
      <c r="X15" s="7" t="s">
        <v>71</v>
      </c>
      <c r="Y15" s="37">
        <v>0</v>
      </c>
      <c r="Z15" s="40">
        <v>3622805</v>
      </c>
      <c r="AA15" s="12" t="s">
        <v>41</v>
      </c>
      <c r="AB15" s="12" t="s">
        <v>42</v>
      </c>
      <c r="AC15" s="12" t="s">
        <v>42</v>
      </c>
      <c r="AD15" s="36" t="s">
        <v>43</v>
      </c>
      <c r="AE15" s="13" t="s">
        <v>50</v>
      </c>
    </row>
    <row r="16" spans="1:31">
      <c r="A16" s="5">
        <v>100004</v>
      </c>
      <c r="B16" s="6">
        <v>1428</v>
      </c>
      <c r="C16" s="6">
        <v>4145</v>
      </c>
      <c r="D16" s="6" t="s">
        <v>32</v>
      </c>
      <c r="E16" s="6" t="s">
        <v>51</v>
      </c>
      <c r="F16" s="6" t="s">
        <v>81</v>
      </c>
      <c r="G16" s="6" t="s">
        <v>82</v>
      </c>
      <c r="H16" s="7" t="s">
        <v>47</v>
      </c>
      <c r="I16" s="8">
        <v>43715</v>
      </c>
      <c r="J16" s="46" t="str">
        <f>TEXT(Tabla1[[#This Row],[FECHA EVENTO]],"dddd")</f>
        <v>sábado</v>
      </c>
      <c r="K16" s="9" t="str">
        <f>TEXT(Tabla1[[#This Row],[FECHA EVENTO]], "[$-es-ES]mmmm")</f>
        <v>septiembre</v>
      </c>
      <c r="L16" s="9">
        <f>YEAR(Tabla1[[#This Row],[FECHA EVENTO]])</f>
        <v>2019</v>
      </c>
      <c r="M16" s="47">
        <v>0.86987268518518523</v>
      </c>
      <c r="N16" s="54">
        <f>HOUR(Tabla1[[#This Row],[HORA]])</f>
        <v>20</v>
      </c>
      <c r="O16" s="54">
        <v>52</v>
      </c>
      <c r="P16" s="54">
        <v>37</v>
      </c>
      <c r="Q16" s="10">
        <v>0.87017361111111113</v>
      </c>
      <c r="R16" s="10">
        <v>0.87276620370370372</v>
      </c>
      <c r="S16" s="10">
        <f>Tabla1[[#This Row],[HORA GESTION]]-Tabla1[[#This Row],[HORA]]</f>
        <v>3.0092592592589895E-4</v>
      </c>
      <c r="T16" s="59">
        <f>Tabla1[[#This Row],[LLEGADA GAM/POLICIA]]-Tabla1[[#This Row],[HORA GESTION]]</f>
        <v>2.5925925925925908E-3</v>
      </c>
      <c r="U16" s="12" t="s">
        <v>41</v>
      </c>
      <c r="V16" s="7" t="s">
        <v>61</v>
      </c>
      <c r="W16" s="7" t="s">
        <v>62</v>
      </c>
      <c r="X16" s="7" t="s">
        <v>63</v>
      </c>
      <c r="Y16" s="37">
        <v>0</v>
      </c>
      <c r="Z16" s="40">
        <v>0</v>
      </c>
      <c r="AA16" s="12" t="s">
        <v>41</v>
      </c>
      <c r="AB16" s="12" t="s">
        <v>42</v>
      </c>
      <c r="AC16" s="12"/>
      <c r="AD16" s="36" t="s">
        <v>43</v>
      </c>
      <c r="AE16" s="13" t="s">
        <v>83</v>
      </c>
    </row>
    <row r="17" spans="1:31">
      <c r="A17" s="5">
        <v>100005</v>
      </c>
      <c r="B17" s="6">
        <v>1359</v>
      </c>
      <c r="C17" s="6">
        <v>4061</v>
      </c>
      <c r="D17" s="6" t="s">
        <v>32</v>
      </c>
      <c r="E17" s="6" t="s">
        <v>84</v>
      </c>
      <c r="F17" s="6" t="s">
        <v>39</v>
      </c>
      <c r="G17" s="6" t="s">
        <v>85</v>
      </c>
      <c r="H17" s="7" t="s">
        <v>53</v>
      </c>
      <c r="I17" s="8">
        <v>43741</v>
      </c>
      <c r="J17" s="46" t="str">
        <f>TEXT(Tabla1[[#This Row],[FECHA EVENTO]],"dddd")</f>
        <v>jueves</v>
      </c>
      <c r="K17" s="9" t="str">
        <f>TEXT(Tabla1[[#This Row],[FECHA EVENTO]], "[$-es-ES]mmmm")</f>
        <v>octubre</v>
      </c>
      <c r="L17" s="9">
        <f>YEAR(Tabla1[[#This Row],[FECHA EVENTO]])</f>
        <v>2019</v>
      </c>
      <c r="M17" s="47"/>
      <c r="N17" s="54">
        <f>HOUR(Tabla1[[#This Row],[HORA]])</f>
        <v>0</v>
      </c>
      <c r="O17" s="54"/>
      <c r="P17" s="54"/>
      <c r="Q17" s="10"/>
      <c r="R17" s="10"/>
      <c r="S17" s="10">
        <f>Tabla1[[#This Row],[HORA GESTION]]-Tabla1[[#This Row],[HORA]]</f>
        <v>0</v>
      </c>
      <c r="T17" s="59">
        <f>Tabla1[[#This Row],[LLEGADA GAM/POLICIA]]-Tabla1[[#This Row],[HORA GESTION]]</f>
        <v>0</v>
      </c>
      <c r="U17" s="12" t="s">
        <v>41</v>
      </c>
      <c r="V17" s="7" t="s">
        <v>48</v>
      </c>
      <c r="W17" s="7" t="s">
        <v>32</v>
      </c>
      <c r="X17" s="7" t="s">
        <v>49</v>
      </c>
      <c r="Y17" s="37">
        <v>198200000</v>
      </c>
      <c r="Z17" s="40">
        <v>0</v>
      </c>
      <c r="AA17" s="12" t="s">
        <v>41</v>
      </c>
      <c r="AB17" s="12" t="s">
        <v>42</v>
      </c>
      <c r="AC17" s="12"/>
      <c r="AD17" s="36" t="s">
        <v>43</v>
      </c>
      <c r="AE17" s="13" t="s">
        <v>50</v>
      </c>
    </row>
    <row r="18" spans="1:31">
      <c r="A18" s="5">
        <v>100006</v>
      </c>
      <c r="B18" s="6">
        <v>1813</v>
      </c>
      <c r="C18" s="6">
        <v>813</v>
      </c>
      <c r="D18" s="6" t="s">
        <v>39</v>
      </c>
      <c r="E18" s="6" t="s">
        <v>69</v>
      </c>
      <c r="F18" s="6" t="s">
        <v>39</v>
      </c>
      <c r="G18" s="6" t="s">
        <v>86</v>
      </c>
      <c r="H18" s="7" t="s">
        <v>87</v>
      </c>
      <c r="I18" s="8">
        <v>43754</v>
      </c>
      <c r="J18" s="46" t="str">
        <f>TEXT(Tabla1[[#This Row],[FECHA EVENTO]],"dddd")</f>
        <v>miércoles</v>
      </c>
      <c r="K18" s="9" t="str">
        <f>TEXT(Tabla1[[#This Row],[FECHA EVENTO]], "[$-es-ES]mmmm")</f>
        <v>octubre</v>
      </c>
      <c r="L18" s="9">
        <f>YEAR(Tabla1[[#This Row],[FECHA EVENTO]])</f>
        <v>2019</v>
      </c>
      <c r="M18" s="47"/>
      <c r="N18" s="54">
        <f>HOUR(Tabla1[[#This Row],[HORA]])</f>
        <v>0</v>
      </c>
      <c r="O18" s="54"/>
      <c r="P18" s="54"/>
      <c r="Q18" s="10"/>
      <c r="R18" s="10"/>
      <c r="S18" s="10">
        <f>Tabla1[[#This Row],[HORA GESTION]]-Tabla1[[#This Row],[HORA]]</f>
        <v>0</v>
      </c>
      <c r="T18" s="59">
        <f>Tabla1[[#This Row],[LLEGADA GAM/POLICIA]]-Tabla1[[#This Row],[HORA GESTION]]</f>
        <v>0</v>
      </c>
      <c r="U18" s="12" t="s">
        <v>37</v>
      </c>
      <c r="V18" s="7" t="s">
        <v>71</v>
      </c>
      <c r="W18" s="7" t="s">
        <v>39</v>
      </c>
      <c r="X18" s="7" t="s">
        <v>71</v>
      </c>
      <c r="Y18" s="37">
        <v>11505750</v>
      </c>
      <c r="Z18" s="40">
        <v>5321528</v>
      </c>
      <c r="AA18" s="12" t="s">
        <v>55</v>
      </c>
      <c r="AB18" s="12" t="s">
        <v>42</v>
      </c>
      <c r="AC18" s="12" t="s">
        <v>42</v>
      </c>
      <c r="AD18" s="36" t="s">
        <v>43</v>
      </c>
      <c r="AE18" s="13" t="s">
        <v>50</v>
      </c>
    </row>
    <row r="19" spans="1:31">
      <c r="A19" s="5">
        <v>100007</v>
      </c>
      <c r="B19" s="6">
        <v>1183</v>
      </c>
      <c r="C19" s="6">
        <v>1831</v>
      </c>
      <c r="D19" s="6" t="s">
        <v>32</v>
      </c>
      <c r="E19" s="6" t="s">
        <v>51</v>
      </c>
      <c r="F19" s="6" t="s">
        <v>81</v>
      </c>
      <c r="G19" s="6" t="s">
        <v>88</v>
      </c>
      <c r="H19" s="7" t="s">
        <v>47</v>
      </c>
      <c r="I19" s="8">
        <v>43771</v>
      </c>
      <c r="J19" s="46" t="str">
        <f>TEXT(Tabla1[[#This Row],[FECHA EVENTO]],"dddd")</f>
        <v>sábado</v>
      </c>
      <c r="K19" s="9" t="str">
        <f>TEXT(Tabla1[[#This Row],[FECHA EVENTO]], "[$-es-ES]mmmm")</f>
        <v>noviembre</v>
      </c>
      <c r="L19" s="9">
        <f>YEAR(Tabla1[[#This Row],[FECHA EVENTO]])</f>
        <v>2019</v>
      </c>
      <c r="M19" s="47">
        <v>0.88344907407407403</v>
      </c>
      <c r="N19" s="54">
        <f>HOUR(Tabla1[[#This Row],[HORA]])</f>
        <v>21</v>
      </c>
      <c r="O19" s="54">
        <v>12</v>
      </c>
      <c r="P19" s="54">
        <v>10</v>
      </c>
      <c r="Q19" s="10">
        <v>0.88469907407407411</v>
      </c>
      <c r="R19" s="10">
        <v>0.88837962962962957</v>
      </c>
      <c r="S19" s="10">
        <f>Tabla1[[#This Row],[HORA GESTION]]-Tabla1[[#This Row],[HORA]]</f>
        <v>1.2500000000000844E-3</v>
      </c>
      <c r="T19" s="59">
        <f>Tabla1[[#This Row],[LLEGADA GAM/POLICIA]]-Tabla1[[#This Row],[HORA GESTION]]</f>
        <v>3.6805555555554648E-3</v>
      </c>
      <c r="U19" s="12" t="s">
        <v>41</v>
      </c>
      <c r="V19" s="7" t="s">
        <v>61</v>
      </c>
      <c r="W19" s="7" t="s">
        <v>62</v>
      </c>
      <c r="X19" s="7" t="s">
        <v>63</v>
      </c>
      <c r="Y19" s="37">
        <v>237700000</v>
      </c>
      <c r="Z19" s="40">
        <v>0</v>
      </c>
      <c r="AA19" s="12" t="s">
        <v>41</v>
      </c>
      <c r="AB19" s="12" t="s">
        <v>42</v>
      </c>
      <c r="AC19" s="12"/>
      <c r="AD19" s="36" t="s">
        <v>43</v>
      </c>
      <c r="AE19" s="13" t="s">
        <v>89</v>
      </c>
    </row>
    <row r="20" spans="1:31">
      <c r="A20" s="5">
        <v>100008</v>
      </c>
      <c r="B20" s="6">
        <v>1861</v>
      </c>
      <c r="C20" s="6">
        <v>861</v>
      </c>
      <c r="D20" s="6" t="s">
        <v>39</v>
      </c>
      <c r="E20" s="6" t="s">
        <v>69</v>
      </c>
      <c r="F20" s="6" t="s">
        <v>39</v>
      </c>
      <c r="G20" s="6" t="s">
        <v>90</v>
      </c>
      <c r="H20" s="7" t="s">
        <v>53</v>
      </c>
      <c r="I20" s="8">
        <v>43786</v>
      </c>
      <c r="J20" s="46" t="str">
        <f>TEXT(Tabla1[[#This Row],[FECHA EVENTO]],"dddd")</f>
        <v>domingo</v>
      </c>
      <c r="K20" s="9" t="str">
        <f>TEXT(Tabla1[[#This Row],[FECHA EVENTO]], "[$-es-ES]mmmm")</f>
        <v>noviembre</v>
      </c>
      <c r="L20" s="9">
        <f>YEAR(Tabla1[[#This Row],[FECHA EVENTO]])</f>
        <v>2019</v>
      </c>
      <c r="M20" s="47">
        <v>0.92722222222222217</v>
      </c>
      <c r="N20" s="54">
        <f>HOUR(Tabla1[[#This Row],[HORA]])</f>
        <v>22</v>
      </c>
      <c r="O20" s="54">
        <v>15</v>
      </c>
      <c r="P20" s="54">
        <v>12</v>
      </c>
      <c r="Q20" s="10">
        <v>0.92729166666666663</v>
      </c>
      <c r="R20" s="10">
        <v>0.93125000000000002</v>
      </c>
      <c r="S20" s="10">
        <f>Tabla1[[#This Row],[HORA GESTION]]-Tabla1[[#This Row],[HORA]]</f>
        <v>6.94444444444553E-5</v>
      </c>
      <c r="T20" s="59">
        <f>Tabla1[[#This Row],[LLEGADA GAM/POLICIA]]-Tabla1[[#This Row],[HORA GESTION]]</f>
        <v>3.958333333333397E-3</v>
      </c>
      <c r="U20" s="12" t="s">
        <v>41</v>
      </c>
      <c r="V20" s="7" t="s">
        <v>38</v>
      </c>
      <c r="W20" s="7" t="s">
        <v>32</v>
      </c>
      <c r="X20" s="7" t="s">
        <v>91</v>
      </c>
      <c r="Y20" s="37">
        <v>4075124027</v>
      </c>
      <c r="Z20" s="40">
        <v>0</v>
      </c>
      <c r="AA20" s="12" t="s">
        <v>41</v>
      </c>
      <c r="AB20" s="12" t="s">
        <v>42</v>
      </c>
      <c r="AC20" s="12"/>
      <c r="AD20" s="36" t="s">
        <v>43</v>
      </c>
      <c r="AE20" s="13" t="s">
        <v>50</v>
      </c>
    </row>
    <row r="21" spans="1:31">
      <c r="A21" s="5">
        <v>100009</v>
      </c>
      <c r="B21" s="6">
        <v>1359</v>
      </c>
      <c r="C21" s="6">
        <v>4061</v>
      </c>
      <c r="D21" s="6" t="s">
        <v>32</v>
      </c>
      <c r="E21" s="6" t="s">
        <v>84</v>
      </c>
      <c r="F21" s="6" t="s">
        <v>39</v>
      </c>
      <c r="G21" s="6" t="s">
        <v>85</v>
      </c>
      <c r="H21" s="7" t="s">
        <v>53</v>
      </c>
      <c r="I21" s="8">
        <v>43799</v>
      </c>
      <c r="J21" s="46" t="str">
        <f>TEXT(Tabla1[[#This Row],[FECHA EVENTO]],"dddd")</f>
        <v>sábado</v>
      </c>
      <c r="K21" s="9" t="str">
        <f>TEXT(Tabla1[[#This Row],[FECHA EVENTO]], "[$-es-ES]mmmm")</f>
        <v>noviembre</v>
      </c>
      <c r="L21" s="9">
        <f>YEAR(Tabla1[[#This Row],[FECHA EVENTO]])</f>
        <v>2019</v>
      </c>
      <c r="M21" s="47">
        <v>0.12818287037037038</v>
      </c>
      <c r="N21" s="54">
        <f>HOUR(Tabla1[[#This Row],[HORA]])</f>
        <v>3</v>
      </c>
      <c r="O21" s="54">
        <v>4</v>
      </c>
      <c r="P21" s="54">
        <v>35</v>
      </c>
      <c r="Q21" s="10">
        <v>0.1282986111111111</v>
      </c>
      <c r="R21" s="10">
        <v>0.13820601851851852</v>
      </c>
      <c r="S21" s="10">
        <f>Tabla1[[#This Row],[HORA GESTION]]-Tabla1[[#This Row],[HORA]]</f>
        <v>1.1574074074072183E-4</v>
      </c>
      <c r="T21" s="59">
        <f>Tabla1[[#This Row],[LLEGADA GAM/POLICIA]]-Tabla1[[#This Row],[HORA GESTION]]</f>
        <v>9.9074074074074203E-3</v>
      </c>
      <c r="U21" s="12" t="s">
        <v>41</v>
      </c>
      <c r="V21" s="7" t="s">
        <v>48</v>
      </c>
      <c r="W21" s="7" t="s">
        <v>32</v>
      </c>
      <c r="X21" s="7" t="s">
        <v>49</v>
      </c>
      <c r="Y21" s="37">
        <v>203000000</v>
      </c>
      <c r="Z21" s="40">
        <v>0</v>
      </c>
      <c r="AA21" s="12" t="s">
        <v>41</v>
      </c>
      <c r="AB21" s="12" t="s">
        <v>42</v>
      </c>
      <c r="AC21" s="12"/>
      <c r="AD21" s="36" t="s">
        <v>43</v>
      </c>
      <c r="AE21" s="13" t="s">
        <v>50</v>
      </c>
    </row>
    <row r="22" spans="1:31">
      <c r="A22" s="5">
        <v>100010</v>
      </c>
      <c r="B22" s="6">
        <v>1231</v>
      </c>
      <c r="C22" s="6">
        <v>231</v>
      </c>
      <c r="D22" s="6" t="s">
        <v>39</v>
      </c>
      <c r="E22" s="6" t="s">
        <v>69</v>
      </c>
      <c r="F22" s="6" t="s">
        <v>39</v>
      </c>
      <c r="G22" s="6" t="s">
        <v>92</v>
      </c>
      <c r="H22" s="7" t="s">
        <v>47</v>
      </c>
      <c r="I22" s="8">
        <v>43803</v>
      </c>
      <c r="J22" s="46" t="str">
        <f>TEXT(Tabla1[[#This Row],[FECHA EVENTO]],"dddd")</f>
        <v>miércoles</v>
      </c>
      <c r="K22" s="9" t="str">
        <f>TEXT(Tabla1[[#This Row],[FECHA EVENTO]], "[$-es-ES]mmmm")</f>
        <v>diciembre</v>
      </c>
      <c r="L22" s="9">
        <f>YEAR(Tabla1[[#This Row],[FECHA EVENTO]])</f>
        <v>2019</v>
      </c>
      <c r="M22" s="47">
        <v>0.52706018518518516</v>
      </c>
      <c r="N22" s="54">
        <f>HOUR(Tabla1[[#This Row],[HORA]])</f>
        <v>12</v>
      </c>
      <c r="O22" s="54">
        <v>38</v>
      </c>
      <c r="P22" s="54">
        <v>58</v>
      </c>
      <c r="Q22" s="10">
        <v>0.52718750000000003</v>
      </c>
      <c r="R22" s="10">
        <v>0.53194444444444444</v>
      </c>
      <c r="S22" s="10">
        <f>Tabla1[[#This Row],[HORA GESTION]]-Tabla1[[#This Row],[HORA]]</f>
        <v>1.2731481481487172E-4</v>
      </c>
      <c r="T22" s="59">
        <f>Tabla1[[#This Row],[LLEGADA GAM/POLICIA]]-Tabla1[[#This Row],[HORA GESTION]]</f>
        <v>4.7569444444444109E-3</v>
      </c>
      <c r="U22" s="12" t="s">
        <v>37</v>
      </c>
      <c r="V22" s="7" t="s">
        <v>71</v>
      </c>
      <c r="W22" s="7" t="s">
        <v>39</v>
      </c>
      <c r="X22" s="7" t="s">
        <v>71</v>
      </c>
      <c r="Y22" s="37">
        <v>678956</v>
      </c>
      <c r="Z22" s="40">
        <v>0</v>
      </c>
      <c r="AA22" s="12" t="s">
        <v>41</v>
      </c>
      <c r="AB22" s="12" t="s">
        <v>42</v>
      </c>
      <c r="AC22" s="12"/>
      <c r="AD22" s="36" t="s">
        <v>43</v>
      </c>
      <c r="AE22" s="13" t="s">
        <v>50</v>
      </c>
    </row>
    <row r="23" spans="1:31">
      <c r="A23" s="5">
        <v>100011</v>
      </c>
      <c r="B23" s="6">
        <v>1103</v>
      </c>
      <c r="C23" s="6">
        <v>103</v>
      </c>
      <c r="D23" s="6" t="s">
        <v>39</v>
      </c>
      <c r="E23" s="6" t="s">
        <v>69</v>
      </c>
      <c r="F23" s="6" t="s">
        <v>39</v>
      </c>
      <c r="G23" s="6" t="s">
        <v>93</v>
      </c>
      <c r="H23" s="7" t="s">
        <v>47</v>
      </c>
      <c r="I23" s="8">
        <v>43805</v>
      </c>
      <c r="J23" s="46" t="str">
        <f>TEXT(Tabla1[[#This Row],[FECHA EVENTO]],"dddd")</f>
        <v>viernes</v>
      </c>
      <c r="K23" s="9" t="str">
        <f>TEXT(Tabla1[[#This Row],[FECHA EVENTO]], "[$-es-ES]mmmm")</f>
        <v>diciembre</v>
      </c>
      <c r="L23" s="9">
        <f>YEAR(Tabla1[[#This Row],[FECHA EVENTO]])</f>
        <v>2019</v>
      </c>
      <c r="M23" s="47">
        <v>0.58795138888888887</v>
      </c>
      <c r="N23" s="54">
        <f>HOUR(Tabla1[[#This Row],[HORA]])</f>
        <v>14</v>
      </c>
      <c r="O23" s="54">
        <v>6</v>
      </c>
      <c r="P23" s="54">
        <v>39</v>
      </c>
      <c r="Q23" s="10">
        <v>0.58813657407407405</v>
      </c>
      <c r="R23" s="10">
        <v>0.59513888888888888</v>
      </c>
      <c r="S23" s="10">
        <f>Tabla1[[#This Row],[HORA GESTION]]-Tabla1[[#This Row],[HORA]]</f>
        <v>1.8518518518517713E-4</v>
      </c>
      <c r="T23" s="59">
        <f>Tabla1[[#This Row],[LLEGADA GAM/POLICIA]]-Tabla1[[#This Row],[HORA GESTION]]</f>
        <v>7.0023148148148362E-3</v>
      </c>
      <c r="U23" s="12" t="s">
        <v>37</v>
      </c>
      <c r="V23" s="7" t="s">
        <v>71</v>
      </c>
      <c r="W23" s="7" t="s">
        <v>39</v>
      </c>
      <c r="X23" s="7" t="s">
        <v>71</v>
      </c>
      <c r="Y23" s="37">
        <v>0</v>
      </c>
      <c r="Z23" s="40">
        <v>6337988</v>
      </c>
      <c r="AA23" s="12" t="s">
        <v>41</v>
      </c>
      <c r="AB23" s="12" t="s">
        <v>42</v>
      </c>
      <c r="AC23" s="12" t="s">
        <v>42</v>
      </c>
      <c r="AD23" s="36" t="s">
        <v>43</v>
      </c>
      <c r="AE23" s="13" t="s">
        <v>50</v>
      </c>
    </row>
    <row r="24" spans="1:31">
      <c r="A24" s="5">
        <v>100012</v>
      </c>
      <c r="B24" s="6">
        <v>7411</v>
      </c>
      <c r="C24" s="6">
        <v>7512</v>
      </c>
      <c r="D24" s="6" t="s">
        <v>32</v>
      </c>
      <c r="E24" s="6" t="s">
        <v>51</v>
      </c>
      <c r="F24" s="6" t="s">
        <v>57</v>
      </c>
      <c r="G24" s="6" t="s">
        <v>94</v>
      </c>
      <c r="H24" s="7" t="s">
        <v>36</v>
      </c>
      <c r="I24" s="8">
        <v>43811</v>
      </c>
      <c r="J24" s="46" t="str">
        <f>TEXT(Tabla1[[#This Row],[FECHA EVENTO]],"dddd")</f>
        <v>jueves</v>
      </c>
      <c r="K24" s="9" t="str">
        <f>TEXT(Tabla1[[#This Row],[FECHA EVENTO]], "[$-es-ES]mmmm")</f>
        <v>diciembre</v>
      </c>
      <c r="L24" s="9">
        <f>YEAR(Tabla1[[#This Row],[FECHA EVENTO]])</f>
        <v>2019</v>
      </c>
      <c r="M24" s="47">
        <v>0.9990162037037037</v>
      </c>
      <c r="N24" s="54">
        <f>HOUR(Tabla1[[#This Row],[HORA]])</f>
        <v>23</v>
      </c>
      <c r="O24" s="54">
        <v>58</v>
      </c>
      <c r="P24" s="54">
        <v>35</v>
      </c>
      <c r="Q24" s="10">
        <v>0.99930555555555556</v>
      </c>
      <c r="R24" s="10">
        <v>1.0106597222222222</v>
      </c>
      <c r="S24" s="10">
        <f>Tabla1[[#This Row],[HORA GESTION]]-Tabla1[[#This Row],[HORA]]</f>
        <v>2.8935185185186008E-4</v>
      </c>
      <c r="T24" s="59"/>
      <c r="U24" s="12" t="s">
        <v>41</v>
      </c>
      <c r="V24" s="7" t="s">
        <v>48</v>
      </c>
      <c r="W24" s="7" t="s">
        <v>32</v>
      </c>
      <c r="X24" s="7" t="s">
        <v>49</v>
      </c>
      <c r="Y24" s="37">
        <v>296060000</v>
      </c>
      <c r="Z24" s="40">
        <v>0</v>
      </c>
      <c r="AA24" s="12" t="s">
        <v>55</v>
      </c>
      <c r="AB24" s="12" t="s">
        <v>42</v>
      </c>
      <c r="AC24" s="12"/>
      <c r="AD24" s="36" t="s">
        <v>43</v>
      </c>
      <c r="AE24" s="13" t="s">
        <v>95</v>
      </c>
    </row>
    <row r="25" spans="1:31">
      <c r="A25" s="5">
        <v>100013</v>
      </c>
      <c r="B25" s="6">
        <v>1512</v>
      </c>
      <c r="C25" s="6">
        <v>512</v>
      </c>
      <c r="D25" s="6" t="s">
        <v>39</v>
      </c>
      <c r="E25" s="6" t="s">
        <v>69</v>
      </c>
      <c r="F25" s="6" t="s">
        <v>39</v>
      </c>
      <c r="G25" s="6" t="s">
        <v>96</v>
      </c>
      <c r="H25" s="7" t="s">
        <v>53</v>
      </c>
      <c r="I25" s="8">
        <v>43815</v>
      </c>
      <c r="J25" s="46" t="str">
        <f>TEXT(Tabla1[[#This Row],[FECHA EVENTO]],"dddd")</f>
        <v>lunes</v>
      </c>
      <c r="K25" s="9" t="str">
        <f>TEXT(Tabla1[[#This Row],[FECHA EVENTO]], "[$-es-ES]mmmm")</f>
        <v>diciembre</v>
      </c>
      <c r="L25" s="9">
        <f>YEAR(Tabla1[[#This Row],[FECHA EVENTO]])</f>
        <v>2019</v>
      </c>
      <c r="M25" s="47">
        <v>0.61207175925925927</v>
      </c>
      <c r="N25" s="54">
        <f>HOUR(Tabla1[[#This Row],[HORA]])</f>
        <v>14</v>
      </c>
      <c r="O25" s="54">
        <v>41</v>
      </c>
      <c r="P25" s="54">
        <v>23</v>
      </c>
      <c r="Q25" s="10">
        <v>0.61216435185185181</v>
      </c>
      <c r="R25" s="10">
        <v>0.61496527777777776</v>
      </c>
      <c r="S25" s="10">
        <f>Tabla1[[#This Row],[HORA GESTION]]-Tabla1[[#This Row],[HORA]]</f>
        <v>9.2592592592533052E-5</v>
      </c>
      <c r="T25" s="59">
        <f>Tabla1[[#This Row],[LLEGADA GAM/POLICIA]]-Tabla1[[#This Row],[HORA GESTION]]</f>
        <v>2.8009259259259567E-3</v>
      </c>
      <c r="U25" s="12" t="s">
        <v>55</v>
      </c>
      <c r="V25" s="7" t="s">
        <v>71</v>
      </c>
      <c r="W25" s="7" t="s">
        <v>39</v>
      </c>
      <c r="X25" s="7" t="s">
        <v>71</v>
      </c>
      <c r="Y25" s="37">
        <v>0</v>
      </c>
      <c r="Z25" s="40">
        <v>1896670</v>
      </c>
      <c r="AA25" s="12" t="s">
        <v>41</v>
      </c>
      <c r="AB25" s="12" t="s">
        <v>42</v>
      </c>
      <c r="AC25" s="12" t="s">
        <v>42</v>
      </c>
      <c r="AD25" s="36" t="s">
        <v>43</v>
      </c>
      <c r="AE25" s="13"/>
    </row>
    <row r="26" spans="1:31">
      <c r="A26" s="5">
        <v>100014</v>
      </c>
      <c r="B26" s="6">
        <v>9081</v>
      </c>
      <c r="C26" s="6" t="s">
        <v>97</v>
      </c>
      <c r="D26" s="6" t="s">
        <v>32</v>
      </c>
      <c r="E26" s="6" t="s">
        <v>98</v>
      </c>
      <c r="F26" s="6" t="s">
        <v>81</v>
      </c>
      <c r="G26" s="6" t="s">
        <v>99</v>
      </c>
      <c r="H26" s="7" t="s">
        <v>47</v>
      </c>
      <c r="I26" s="8">
        <v>43824</v>
      </c>
      <c r="J26" s="46" t="str">
        <f>TEXT(Tabla1[[#This Row],[FECHA EVENTO]],"dddd")</f>
        <v>miércoles</v>
      </c>
      <c r="K26" s="9" t="str">
        <f>TEXT(Tabla1[[#This Row],[FECHA EVENTO]], "[$-es-ES]mmmm")</f>
        <v>diciembre</v>
      </c>
      <c r="L26" s="9">
        <f>YEAR(Tabla1[[#This Row],[FECHA EVENTO]])</f>
        <v>2019</v>
      </c>
      <c r="M26" s="47">
        <v>4.1666666666666666E-3</v>
      </c>
      <c r="N26" s="54">
        <f>HOUR(Tabla1[[#This Row],[HORA]])</f>
        <v>0</v>
      </c>
      <c r="O26" s="54">
        <v>6</v>
      </c>
      <c r="P26" s="54">
        <v>0</v>
      </c>
      <c r="Q26" s="10">
        <v>4.2013888888888891E-3</v>
      </c>
      <c r="R26" s="10">
        <v>9.0393518518518522E-3</v>
      </c>
      <c r="S26" s="10">
        <f>Tabla1[[#This Row],[HORA GESTION]]-Tabla1[[#This Row],[HORA]]</f>
        <v>3.4722222222222446E-5</v>
      </c>
      <c r="T26" s="59">
        <f>Tabla1[[#This Row],[LLEGADA GAM/POLICIA]]-Tabla1[[#This Row],[HORA GESTION]]</f>
        <v>4.8379629629629632E-3</v>
      </c>
      <c r="U26" s="12" t="s">
        <v>41</v>
      </c>
      <c r="V26" s="7" t="s">
        <v>48</v>
      </c>
      <c r="W26" s="7" t="s">
        <v>32</v>
      </c>
      <c r="X26" s="7" t="s">
        <v>49</v>
      </c>
      <c r="Y26" s="37">
        <v>587500000</v>
      </c>
      <c r="Z26" s="40">
        <v>0</v>
      </c>
      <c r="AA26" s="12" t="s">
        <v>41</v>
      </c>
      <c r="AB26" s="12" t="s">
        <v>42</v>
      </c>
      <c r="AC26" s="12"/>
      <c r="AD26" s="36" t="s">
        <v>43</v>
      </c>
      <c r="AE26" s="13" t="s">
        <v>100</v>
      </c>
    </row>
    <row r="27" spans="1:31">
      <c r="A27" s="5">
        <v>100015</v>
      </c>
      <c r="B27" s="6">
        <v>1614</v>
      </c>
      <c r="C27" s="6">
        <v>7866</v>
      </c>
      <c r="D27" s="6" t="s">
        <v>32</v>
      </c>
      <c r="E27" s="6" t="s">
        <v>101</v>
      </c>
      <c r="F27" s="6" t="s">
        <v>39</v>
      </c>
      <c r="G27" s="6" t="s">
        <v>60</v>
      </c>
      <c r="H27" s="7" t="s">
        <v>36</v>
      </c>
      <c r="I27" s="8">
        <v>43827</v>
      </c>
      <c r="J27" s="46" t="str">
        <f>TEXT(Tabla1[[#This Row],[FECHA EVENTO]],"dddd")</f>
        <v>sábado</v>
      </c>
      <c r="K27" s="9" t="str">
        <f>TEXT(Tabla1[[#This Row],[FECHA EVENTO]], "[$-es-ES]mmmm")</f>
        <v>diciembre</v>
      </c>
      <c r="L27" s="9">
        <f>YEAR(Tabla1[[#This Row],[FECHA EVENTO]])</f>
        <v>2019</v>
      </c>
      <c r="M27" s="47">
        <v>5.9305555555555556E-2</v>
      </c>
      <c r="N27" s="54">
        <f>HOUR(Tabla1[[#This Row],[HORA]])</f>
        <v>1</v>
      </c>
      <c r="O27" s="54">
        <v>25</v>
      </c>
      <c r="P27" s="54">
        <v>24</v>
      </c>
      <c r="Q27" s="10">
        <v>5.9594907407407409E-2</v>
      </c>
      <c r="R27" s="10">
        <v>6.5219907407407407E-2</v>
      </c>
      <c r="S27" s="10">
        <f>Tabla1[[#This Row],[HORA GESTION]]-Tabla1[[#This Row],[HORA]]</f>
        <v>2.8935185185185314E-4</v>
      </c>
      <c r="T27" s="59">
        <f>Tabla1[[#This Row],[LLEGADA GAM/POLICIA]]-Tabla1[[#This Row],[HORA GESTION]]</f>
        <v>5.6249999999999981E-3</v>
      </c>
      <c r="U27" s="12" t="s">
        <v>41</v>
      </c>
      <c r="V27" s="7" t="s">
        <v>38</v>
      </c>
      <c r="W27" s="7" t="s">
        <v>32</v>
      </c>
      <c r="X27" s="7" t="s">
        <v>75</v>
      </c>
      <c r="Y27" s="37">
        <v>223960000</v>
      </c>
      <c r="Z27" s="40">
        <v>0</v>
      </c>
      <c r="AA27" s="12" t="s">
        <v>41</v>
      </c>
      <c r="AB27" s="12" t="s">
        <v>42</v>
      </c>
      <c r="AC27" s="12"/>
      <c r="AD27" s="36" t="s">
        <v>43</v>
      </c>
      <c r="AE27" s="13" t="s">
        <v>102</v>
      </c>
    </row>
    <row r="28" spans="1:31">
      <c r="A28" s="5">
        <v>100016</v>
      </c>
      <c r="B28" s="6">
        <v>7409</v>
      </c>
      <c r="C28" s="6">
        <v>7505</v>
      </c>
      <c r="D28" s="6" t="s">
        <v>32</v>
      </c>
      <c r="E28" s="6" t="s">
        <v>101</v>
      </c>
      <c r="F28" s="6" t="s">
        <v>57</v>
      </c>
      <c r="G28" s="6" t="s">
        <v>77</v>
      </c>
      <c r="H28" s="7" t="s">
        <v>47</v>
      </c>
      <c r="I28" s="8">
        <v>43827</v>
      </c>
      <c r="J28" s="46" t="str">
        <f>TEXT(Tabla1[[#This Row],[FECHA EVENTO]],"dddd")</f>
        <v>sábado</v>
      </c>
      <c r="K28" s="9" t="str">
        <f>TEXT(Tabla1[[#This Row],[FECHA EVENTO]], "[$-es-ES]mmmm")</f>
        <v>diciembre</v>
      </c>
      <c r="L28" s="9">
        <f>YEAR(Tabla1[[#This Row],[FECHA EVENTO]])</f>
        <v>2019</v>
      </c>
      <c r="M28" s="47">
        <v>0.42914351851851851</v>
      </c>
      <c r="N28" s="54">
        <f>HOUR(Tabla1[[#This Row],[HORA]])</f>
        <v>10</v>
      </c>
      <c r="O28" s="54">
        <v>17</v>
      </c>
      <c r="P28" s="54">
        <v>58</v>
      </c>
      <c r="Q28" s="10">
        <v>0.43011574074074072</v>
      </c>
      <c r="R28" s="10">
        <v>0.45069444444444445</v>
      </c>
      <c r="S28" s="10">
        <f>Tabla1[[#This Row],[HORA GESTION]]-Tabla1[[#This Row],[HORA]]</f>
        <v>9.7222222222220767E-4</v>
      </c>
      <c r="T28" s="59">
        <f>Tabla1[[#This Row],[LLEGADA GAM/POLICIA]]-Tabla1[[#This Row],[HORA GESTION]]</f>
        <v>2.0578703703703738E-2</v>
      </c>
      <c r="U28" s="12" t="s">
        <v>41</v>
      </c>
      <c r="V28" s="7" t="s">
        <v>61</v>
      </c>
      <c r="W28" s="7" t="s">
        <v>62</v>
      </c>
      <c r="X28" s="7" t="s">
        <v>63</v>
      </c>
      <c r="Y28" s="37">
        <v>323510000</v>
      </c>
      <c r="Z28" s="40">
        <v>0</v>
      </c>
      <c r="AA28" s="12" t="s">
        <v>41</v>
      </c>
      <c r="AB28" s="12" t="s">
        <v>42</v>
      </c>
      <c r="AC28" s="12"/>
      <c r="AD28" s="36" t="s">
        <v>43</v>
      </c>
      <c r="AE28" s="13" t="s">
        <v>103</v>
      </c>
    </row>
    <row r="29" spans="1:31">
      <c r="A29" s="5">
        <v>100017</v>
      </c>
      <c r="B29" s="6">
        <v>6933</v>
      </c>
      <c r="C29" s="6">
        <v>5649</v>
      </c>
      <c r="D29" s="6" t="s">
        <v>104</v>
      </c>
      <c r="E29" s="6" t="s">
        <v>84</v>
      </c>
      <c r="F29" s="6" t="s">
        <v>105</v>
      </c>
      <c r="G29" s="6" t="s">
        <v>106</v>
      </c>
      <c r="H29" s="7" t="s">
        <v>53</v>
      </c>
      <c r="I29" s="8">
        <v>44233</v>
      </c>
      <c r="J29" s="46" t="str">
        <f>TEXT(Tabla1[[#This Row],[FECHA EVENTO]],"dddd")</f>
        <v>sábado</v>
      </c>
      <c r="K29" s="9" t="str">
        <f>TEXT(Tabla1[[#This Row],[FECHA EVENTO]], "[$-es-ES]mmmm")</f>
        <v>febrero</v>
      </c>
      <c r="L29" s="9">
        <f>YEAR(Tabla1[[#This Row],[FECHA EVENTO]])</f>
        <v>2021</v>
      </c>
      <c r="M29" s="47">
        <v>0.17347222222222222</v>
      </c>
      <c r="N29" s="54">
        <f>HOUR(Tabla1[[#This Row],[HORA]])</f>
        <v>4</v>
      </c>
      <c r="O29" s="12">
        <v>9</v>
      </c>
      <c r="P29" s="12">
        <v>48</v>
      </c>
      <c r="Q29" s="10">
        <v>0.17379629629629631</v>
      </c>
      <c r="R29" s="10">
        <v>0.20347222222222219</v>
      </c>
      <c r="S29" s="10">
        <v>3.2407407407408773E-4</v>
      </c>
      <c r="T29" s="59">
        <f>Tabla1[[#This Row],[LLEGADA GAM/POLICIA]]-Tabla1[[#This Row],[HORA GESTION]]</f>
        <v>2.9675925925925883E-2</v>
      </c>
      <c r="U29" s="12" t="s">
        <v>41</v>
      </c>
      <c r="V29" s="7" t="s">
        <v>38</v>
      </c>
      <c r="W29" s="7" t="s">
        <v>54</v>
      </c>
      <c r="X29" s="7" t="s">
        <v>49</v>
      </c>
      <c r="Y29" s="37">
        <v>172460000</v>
      </c>
      <c r="Z29" s="40">
        <v>0</v>
      </c>
      <c r="AA29" s="12" t="s">
        <v>41</v>
      </c>
      <c r="AB29" s="12" t="s">
        <v>42</v>
      </c>
      <c r="AC29" s="12" t="s">
        <v>69</v>
      </c>
      <c r="AD29" s="36" t="s">
        <v>43</v>
      </c>
      <c r="AE29" s="13"/>
    </row>
    <row r="30" spans="1:31">
      <c r="A30" s="5">
        <v>100018</v>
      </c>
      <c r="B30" s="6">
        <v>6933</v>
      </c>
      <c r="C30" s="6">
        <v>3480</v>
      </c>
      <c r="D30" s="6" t="s">
        <v>104</v>
      </c>
      <c r="E30" s="6" t="s">
        <v>45</v>
      </c>
      <c r="F30" s="6" t="s">
        <v>105</v>
      </c>
      <c r="G30" s="6" t="s">
        <v>106</v>
      </c>
      <c r="H30" s="7" t="s">
        <v>53</v>
      </c>
      <c r="I30" s="8">
        <v>44233</v>
      </c>
      <c r="J30" s="46" t="str">
        <f>TEXT(Tabla1[[#This Row],[FECHA EVENTO]],"dddd")</f>
        <v>sábado</v>
      </c>
      <c r="K30" s="9" t="str">
        <f>TEXT(Tabla1[[#This Row],[FECHA EVENTO]], "[$-es-ES]mmmm")</f>
        <v>febrero</v>
      </c>
      <c r="L30" s="9">
        <f>YEAR(Tabla1[[#This Row],[FECHA EVENTO]])</f>
        <v>2021</v>
      </c>
      <c r="M30" s="47">
        <v>0.17347222222222222</v>
      </c>
      <c r="N30" s="12">
        <f>HOUR(Tabla1[[#This Row],[HORA]])</f>
        <v>4</v>
      </c>
      <c r="O30" s="12">
        <v>9</v>
      </c>
      <c r="P30" s="12">
        <v>48</v>
      </c>
      <c r="Q30" s="10">
        <v>0.17379629629629631</v>
      </c>
      <c r="R30" s="10">
        <v>0.20347222222222219</v>
      </c>
      <c r="S30" s="10">
        <v>3.2407407407408773E-4</v>
      </c>
      <c r="T30" s="59">
        <f>Tabla1[[#This Row],[LLEGADA GAM/POLICIA]]-Tabla1[[#This Row],[HORA GESTION]]</f>
        <v>2.9675925925925883E-2</v>
      </c>
      <c r="U30" s="12" t="s">
        <v>41</v>
      </c>
      <c r="V30" s="7" t="s">
        <v>38</v>
      </c>
      <c r="W30" s="7" t="s">
        <v>54</v>
      </c>
      <c r="X30" s="7" t="s">
        <v>49</v>
      </c>
      <c r="Y30" s="37">
        <v>250160000</v>
      </c>
      <c r="Z30" s="40">
        <v>0</v>
      </c>
      <c r="AA30" s="12" t="s">
        <v>41</v>
      </c>
      <c r="AB30" s="12" t="s">
        <v>42</v>
      </c>
      <c r="AC30" s="12" t="s">
        <v>69</v>
      </c>
      <c r="AD30" s="36" t="s">
        <v>43</v>
      </c>
      <c r="AE30" s="13"/>
    </row>
    <row r="31" spans="1:31">
      <c r="A31" s="5">
        <v>100019</v>
      </c>
      <c r="B31" s="6">
        <v>9720</v>
      </c>
      <c r="C31" s="6">
        <v>81</v>
      </c>
      <c r="D31" s="6" t="s">
        <v>104</v>
      </c>
      <c r="E31" s="6" t="s">
        <v>107</v>
      </c>
      <c r="F31" s="6" t="s">
        <v>34</v>
      </c>
      <c r="G31" s="6" t="s">
        <v>108</v>
      </c>
      <c r="H31" s="7" t="s">
        <v>47</v>
      </c>
      <c r="I31" s="8">
        <v>44233</v>
      </c>
      <c r="J31" s="46" t="str">
        <f>TEXT(Tabla1[[#This Row],[FECHA EVENTO]],"dddd")</f>
        <v>sábado</v>
      </c>
      <c r="K31" s="9" t="str">
        <f>TEXT(Tabla1[[#This Row],[FECHA EVENTO]], "[$-es-ES]mmmm")</f>
        <v>febrero</v>
      </c>
      <c r="L31" s="9">
        <f>YEAR(Tabla1[[#This Row],[FECHA EVENTO]])</f>
        <v>2021</v>
      </c>
      <c r="M31" s="47">
        <v>0.76505787037037043</v>
      </c>
      <c r="N31" s="12">
        <f>HOUR(Tabla1[[#This Row],[HORA]])</f>
        <v>18</v>
      </c>
      <c r="O31" s="12">
        <v>21</v>
      </c>
      <c r="P31" s="12">
        <v>41</v>
      </c>
      <c r="Q31" s="10">
        <v>0.76696759259259262</v>
      </c>
      <c r="R31" s="10">
        <v>0.77847222222222223</v>
      </c>
      <c r="S31" s="10">
        <v>1.9097222222221877E-3</v>
      </c>
      <c r="T31" s="59">
        <f>Tabla1[[#This Row],[LLEGADA GAM/POLICIA]]-Tabla1[[#This Row],[HORA GESTION]]</f>
        <v>1.1504629629629615E-2</v>
      </c>
      <c r="U31" s="12" t="s">
        <v>41</v>
      </c>
      <c r="V31" s="7" t="s">
        <v>38</v>
      </c>
      <c r="W31" s="7" t="s">
        <v>54</v>
      </c>
      <c r="X31" s="7" t="s">
        <v>49</v>
      </c>
      <c r="Y31" s="37">
        <v>319550000</v>
      </c>
      <c r="Z31" s="40">
        <v>0</v>
      </c>
      <c r="AA31" s="12" t="s">
        <v>41</v>
      </c>
      <c r="AB31" s="12" t="s">
        <v>42</v>
      </c>
      <c r="AC31" s="12" t="s">
        <v>69</v>
      </c>
      <c r="AD31" s="36" t="s">
        <v>43</v>
      </c>
      <c r="AE31" s="13"/>
    </row>
    <row r="32" spans="1:31">
      <c r="A32" s="5">
        <v>100020</v>
      </c>
      <c r="B32" s="6">
        <v>1759</v>
      </c>
      <c r="C32" s="6">
        <v>759</v>
      </c>
      <c r="D32" s="6" t="s">
        <v>39</v>
      </c>
      <c r="E32" s="6" t="s">
        <v>69</v>
      </c>
      <c r="F32" s="6" t="s">
        <v>39</v>
      </c>
      <c r="G32" s="6" t="s">
        <v>109</v>
      </c>
      <c r="H32" s="7" t="s">
        <v>53</v>
      </c>
      <c r="I32" s="8">
        <v>44233</v>
      </c>
      <c r="J32" s="46" t="str">
        <f>TEXT(Tabla1[[#This Row],[FECHA EVENTO]],"dddd")</f>
        <v>sábado</v>
      </c>
      <c r="K32" s="9" t="str">
        <f>TEXT(Tabla1[[#This Row],[FECHA EVENTO]], "[$-es-ES]mmmm")</f>
        <v>febrero</v>
      </c>
      <c r="L32" s="9">
        <f>YEAR(Tabla1[[#This Row],[FECHA EVENTO]])</f>
        <v>2021</v>
      </c>
      <c r="M32" s="47">
        <v>0.89437500000000003</v>
      </c>
      <c r="N32" s="12">
        <f>HOUR(Tabla1[[#This Row],[HORA]])</f>
        <v>21</v>
      </c>
      <c r="O32" s="12">
        <v>27</v>
      </c>
      <c r="P32" s="12">
        <v>54</v>
      </c>
      <c r="Q32" s="10">
        <v>0.8954050925925926</v>
      </c>
      <c r="R32" s="10">
        <v>0.91111111111111109</v>
      </c>
      <c r="S32" s="10">
        <v>1.0300925925925686E-3</v>
      </c>
      <c r="T32" s="59">
        <f>Tabla1[[#This Row],[LLEGADA GAM/POLICIA]]-Tabla1[[#This Row],[HORA GESTION]]</f>
        <v>1.5706018518518494E-2</v>
      </c>
      <c r="U32" s="12" t="s">
        <v>55</v>
      </c>
      <c r="V32" s="7" t="s">
        <v>38</v>
      </c>
      <c r="W32" s="7" t="s">
        <v>32</v>
      </c>
      <c r="X32" s="7" t="s">
        <v>91</v>
      </c>
      <c r="Y32" s="37">
        <v>1625030000</v>
      </c>
      <c r="Z32" s="40">
        <v>642494537</v>
      </c>
      <c r="AA32" s="12" t="s">
        <v>55</v>
      </c>
      <c r="AB32" s="12" t="s">
        <v>42</v>
      </c>
      <c r="AC32" s="12" t="s">
        <v>42</v>
      </c>
      <c r="AD32" s="36" t="s">
        <v>43</v>
      </c>
      <c r="AE32" s="13"/>
    </row>
    <row r="33" spans="1:31">
      <c r="A33" s="5">
        <v>100021</v>
      </c>
      <c r="B33" s="6">
        <v>8459</v>
      </c>
      <c r="C33" s="6">
        <v>4051</v>
      </c>
      <c r="D33" s="6" t="s">
        <v>104</v>
      </c>
      <c r="E33" s="6" t="s">
        <v>107</v>
      </c>
      <c r="F33" s="6" t="s">
        <v>34</v>
      </c>
      <c r="G33" s="6" t="s">
        <v>110</v>
      </c>
      <c r="H33" s="7" t="s">
        <v>47</v>
      </c>
      <c r="I33" s="8">
        <v>44262</v>
      </c>
      <c r="J33" s="46" t="str">
        <f>TEXT(Tabla1[[#This Row],[FECHA EVENTO]],"dddd")</f>
        <v>domingo</v>
      </c>
      <c r="K33" s="9" t="str">
        <f>TEXT(Tabla1[[#This Row],[FECHA EVENTO]], "[$-es-ES]mmmm")</f>
        <v>marzo</v>
      </c>
      <c r="L33" s="9">
        <f>YEAR(Tabla1[[#This Row],[FECHA EVENTO]])</f>
        <v>2021</v>
      </c>
      <c r="M33" s="47">
        <v>0.97326388888888893</v>
      </c>
      <c r="N33" s="12">
        <f>HOUR(Tabla1[[#This Row],[HORA]])</f>
        <v>23</v>
      </c>
      <c r="O33" s="12">
        <v>21</v>
      </c>
      <c r="P33" s="12">
        <v>30</v>
      </c>
      <c r="Q33" s="10">
        <v>0.97539351851851841</v>
      </c>
      <c r="R33" s="10">
        <v>0.9902777777777777</v>
      </c>
      <c r="S33" s="10">
        <v>2.1296296296294814E-3</v>
      </c>
      <c r="T33" s="59">
        <f>Tabla1[[#This Row],[LLEGADA GAM/POLICIA]]-Tabla1[[#This Row],[HORA GESTION]]</f>
        <v>1.4884259259259291E-2</v>
      </c>
      <c r="U33" s="12" t="s">
        <v>41</v>
      </c>
      <c r="V33" s="7" t="s">
        <v>38</v>
      </c>
      <c r="W33" s="7" t="s">
        <v>54</v>
      </c>
      <c r="X33" s="7" t="s">
        <v>49</v>
      </c>
      <c r="Y33" s="37">
        <v>233040000</v>
      </c>
      <c r="Z33" s="40">
        <v>0</v>
      </c>
      <c r="AA33" s="12" t="s">
        <v>41</v>
      </c>
      <c r="AB33" s="12" t="s">
        <v>42</v>
      </c>
      <c r="AC33" s="12" t="s">
        <v>69</v>
      </c>
      <c r="AD33" s="36" t="s">
        <v>43</v>
      </c>
      <c r="AE33" s="13"/>
    </row>
    <row r="34" spans="1:31">
      <c r="A34" s="5">
        <v>100022</v>
      </c>
      <c r="B34" s="6">
        <v>7171</v>
      </c>
      <c r="C34" s="6">
        <v>8560</v>
      </c>
      <c r="D34" s="6" t="s">
        <v>104</v>
      </c>
      <c r="E34" s="6" t="s">
        <v>107</v>
      </c>
      <c r="F34" s="6" t="s">
        <v>57</v>
      </c>
      <c r="G34" s="6" t="s">
        <v>111</v>
      </c>
      <c r="H34" s="7" t="s">
        <v>87</v>
      </c>
      <c r="I34" s="8">
        <v>44263</v>
      </c>
      <c r="J34" s="46" t="str">
        <f>TEXT(Tabla1[[#This Row],[FECHA EVENTO]],"dddd")</f>
        <v>lunes</v>
      </c>
      <c r="K34" s="9" t="str">
        <f>TEXT(Tabla1[[#This Row],[FECHA EVENTO]], "[$-es-ES]mmmm")</f>
        <v>marzo</v>
      </c>
      <c r="L34" s="9">
        <f>YEAR(Tabla1[[#This Row],[FECHA EVENTO]])</f>
        <v>2021</v>
      </c>
      <c r="M34" s="47">
        <v>0.14891203703703704</v>
      </c>
      <c r="N34" s="12">
        <f>HOUR(Tabla1[[#This Row],[HORA]])</f>
        <v>3</v>
      </c>
      <c r="O34" s="12">
        <v>34</v>
      </c>
      <c r="P34" s="12">
        <v>26</v>
      </c>
      <c r="Q34" s="10">
        <v>0.14988425925925927</v>
      </c>
      <c r="R34" s="10">
        <v>0.15347222222222223</v>
      </c>
      <c r="S34" s="10">
        <v>9.7222222222223542E-4</v>
      </c>
      <c r="T34" s="59">
        <f>Tabla1[[#This Row],[LLEGADA GAM/POLICIA]]-Tabla1[[#This Row],[HORA GESTION]]</f>
        <v>3.5879629629629595E-3</v>
      </c>
      <c r="U34" s="12" t="s">
        <v>41</v>
      </c>
      <c r="V34" s="7" t="s">
        <v>38</v>
      </c>
      <c r="W34" s="7" t="s">
        <v>32</v>
      </c>
      <c r="X34" s="7" t="s">
        <v>112</v>
      </c>
      <c r="Y34" s="37">
        <v>320650000</v>
      </c>
      <c r="Z34" s="40">
        <v>0</v>
      </c>
      <c r="AA34" s="12" t="s">
        <v>41</v>
      </c>
      <c r="AB34" s="12" t="s">
        <v>42</v>
      </c>
      <c r="AC34" s="12" t="s">
        <v>69</v>
      </c>
      <c r="AD34" s="36" t="s">
        <v>43</v>
      </c>
      <c r="AE34" s="13"/>
    </row>
    <row r="35" spans="1:31">
      <c r="A35" s="5">
        <v>100023</v>
      </c>
      <c r="B35" s="6">
        <v>9970</v>
      </c>
      <c r="C35" s="6">
        <v>30</v>
      </c>
      <c r="D35" s="6" t="s">
        <v>32</v>
      </c>
      <c r="E35" s="6" t="s">
        <v>107</v>
      </c>
      <c r="F35" s="6" t="s">
        <v>34</v>
      </c>
      <c r="G35" s="6" t="s">
        <v>113</v>
      </c>
      <c r="H35" s="7" t="s">
        <v>47</v>
      </c>
      <c r="I35" s="8">
        <v>44296</v>
      </c>
      <c r="J35" s="46" t="str">
        <f>TEXT(Tabla1[[#This Row],[FECHA EVENTO]],"dddd")</f>
        <v>sábado</v>
      </c>
      <c r="K35" s="9" t="str">
        <f>TEXT(Tabla1[[#This Row],[FECHA EVENTO]], "[$-es-ES]mmmm")</f>
        <v>abril</v>
      </c>
      <c r="L35" s="9">
        <f>YEAR(Tabla1[[#This Row],[FECHA EVENTO]])</f>
        <v>2021</v>
      </c>
      <c r="M35" s="47">
        <v>0.83678240740740739</v>
      </c>
      <c r="N35" s="12">
        <f>HOUR(Tabla1[[#This Row],[HORA]])</f>
        <v>20</v>
      </c>
      <c r="O35" s="12">
        <v>4</v>
      </c>
      <c r="P35" s="12">
        <v>58</v>
      </c>
      <c r="Q35" s="10">
        <v>0.83697916666666661</v>
      </c>
      <c r="R35" s="10">
        <v>0.85069444444444453</v>
      </c>
      <c r="S35" s="10">
        <v>1.96759259259216E-4</v>
      </c>
      <c r="T35" s="59">
        <f>Tabla1[[#This Row],[LLEGADA GAM/POLICIA]]-Tabla1[[#This Row],[HORA GESTION]]</f>
        <v>1.3715277777777923E-2</v>
      </c>
      <c r="U35" s="12" t="s">
        <v>41</v>
      </c>
      <c r="V35" s="7" t="s">
        <v>38</v>
      </c>
      <c r="W35" s="7" t="s">
        <v>54</v>
      </c>
      <c r="X35" s="7" t="s">
        <v>78</v>
      </c>
      <c r="Y35" s="37">
        <v>228290000</v>
      </c>
      <c r="Z35" s="40">
        <v>0</v>
      </c>
      <c r="AA35" s="12" t="s">
        <v>41</v>
      </c>
      <c r="AB35" s="12" t="s">
        <v>42</v>
      </c>
      <c r="AC35" s="12" t="s">
        <v>69</v>
      </c>
      <c r="AD35" s="36" t="s">
        <v>43</v>
      </c>
      <c r="AE35" s="13" t="s">
        <v>114</v>
      </c>
    </row>
    <row r="36" spans="1:31">
      <c r="A36" s="5">
        <v>100024</v>
      </c>
      <c r="B36" s="6">
        <v>9132</v>
      </c>
      <c r="C36" s="6">
        <v>1397</v>
      </c>
      <c r="D36" s="6" t="s">
        <v>104</v>
      </c>
      <c r="E36" s="6" t="s">
        <v>101</v>
      </c>
      <c r="F36" s="6" t="s">
        <v>57</v>
      </c>
      <c r="G36" s="6" t="s">
        <v>115</v>
      </c>
      <c r="H36" s="7" t="s">
        <v>36</v>
      </c>
      <c r="I36" s="8">
        <v>44303</v>
      </c>
      <c r="J36" s="46" t="str">
        <f>TEXT(Tabla1[[#This Row],[FECHA EVENTO]],"dddd")</f>
        <v>sábado</v>
      </c>
      <c r="K36" s="9" t="str">
        <f>TEXT(Tabla1[[#This Row],[FECHA EVENTO]], "[$-es-ES]mmmm")</f>
        <v>abril</v>
      </c>
      <c r="L36" s="9">
        <f>YEAR(Tabla1[[#This Row],[FECHA EVENTO]])</f>
        <v>2021</v>
      </c>
      <c r="M36" s="47">
        <v>0.15090277777777777</v>
      </c>
      <c r="N36" s="12">
        <f>HOUR(Tabla1[[#This Row],[HORA]])</f>
        <v>3</v>
      </c>
      <c r="O36" s="12">
        <v>37</v>
      </c>
      <c r="P36" s="12">
        <v>18</v>
      </c>
      <c r="Q36" s="10">
        <v>0.15128472222222222</v>
      </c>
      <c r="R36" s="10">
        <v>0.15625</v>
      </c>
      <c r="S36" s="10">
        <v>3.8194444444444864E-4</v>
      </c>
      <c r="T36" s="59">
        <f>Tabla1[[#This Row],[LLEGADA GAM/POLICIA]]-Tabla1[[#This Row],[HORA GESTION]]</f>
        <v>4.9652777777777768E-3</v>
      </c>
      <c r="U36" s="12" t="s">
        <v>41</v>
      </c>
      <c r="V36" s="7" t="s">
        <v>38</v>
      </c>
      <c r="W36" s="7" t="s">
        <v>32</v>
      </c>
      <c r="X36" s="7" t="s">
        <v>112</v>
      </c>
      <c r="Y36" s="37">
        <v>112230000</v>
      </c>
      <c r="Z36" s="40">
        <v>0</v>
      </c>
      <c r="AA36" s="12" t="s">
        <v>41</v>
      </c>
      <c r="AB36" s="12" t="s">
        <v>42</v>
      </c>
      <c r="AC36" s="12" t="s">
        <v>69</v>
      </c>
      <c r="AD36" s="36" t="s">
        <v>43</v>
      </c>
      <c r="AE36" s="13"/>
    </row>
    <row r="37" spans="1:31">
      <c r="A37" s="5">
        <v>100025</v>
      </c>
      <c r="B37" s="6">
        <v>8735</v>
      </c>
      <c r="C37" s="6">
        <v>3246</v>
      </c>
      <c r="D37" s="6" t="s">
        <v>104</v>
      </c>
      <c r="E37" s="6" t="s">
        <v>107</v>
      </c>
      <c r="F37" s="6" t="s">
        <v>81</v>
      </c>
      <c r="G37" s="6" t="s">
        <v>116</v>
      </c>
      <c r="H37" s="7" t="s">
        <v>87</v>
      </c>
      <c r="I37" s="8">
        <v>44314</v>
      </c>
      <c r="J37" s="46" t="str">
        <f>TEXT(Tabla1[[#This Row],[FECHA EVENTO]],"dddd")</f>
        <v>miércoles</v>
      </c>
      <c r="K37" s="9" t="str">
        <f>TEXT(Tabla1[[#This Row],[FECHA EVENTO]], "[$-es-ES]mmmm")</f>
        <v>abril</v>
      </c>
      <c r="L37" s="9">
        <f>YEAR(Tabla1[[#This Row],[FECHA EVENTO]])</f>
        <v>2021</v>
      </c>
      <c r="M37" s="47">
        <v>0.61987268518518512</v>
      </c>
      <c r="N37" s="12">
        <f>HOUR(Tabla1[[#This Row],[HORA]])</f>
        <v>14</v>
      </c>
      <c r="O37" s="12">
        <v>52</v>
      </c>
      <c r="P37" s="12">
        <v>37</v>
      </c>
      <c r="Q37" s="10">
        <v>0.62041666666666673</v>
      </c>
      <c r="R37" s="10">
        <v>0.33263888888888887</v>
      </c>
      <c r="S37" s="10">
        <v>5.4398148148160352E-4</v>
      </c>
      <c r="T37" s="59">
        <f>Tabla1[[#This Row],[LLEGADA GAM/POLICIA]]-Tabla1[[#This Row],[HORA GESTION]]</f>
        <v>-0.28777777777777785</v>
      </c>
      <c r="U37" s="12" t="s">
        <v>55</v>
      </c>
      <c r="V37" s="7" t="s">
        <v>38</v>
      </c>
      <c r="W37" s="7" t="s">
        <v>32</v>
      </c>
      <c r="X37" s="7" t="s">
        <v>117</v>
      </c>
      <c r="Y37" s="37">
        <v>0</v>
      </c>
      <c r="Z37" s="40">
        <v>176540000</v>
      </c>
      <c r="AA37" s="12" t="s">
        <v>41</v>
      </c>
      <c r="AB37" s="12" t="s">
        <v>42</v>
      </c>
      <c r="AC37" s="12" t="s">
        <v>42</v>
      </c>
      <c r="AD37" s="36" t="s">
        <v>43</v>
      </c>
      <c r="AE37" s="13"/>
    </row>
    <row r="38" spans="1:31">
      <c r="A38" s="5">
        <v>100026</v>
      </c>
      <c r="B38" s="6">
        <v>7419</v>
      </c>
      <c r="C38" s="6">
        <v>7426</v>
      </c>
      <c r="D38" s="6" t="s">
        <v>104</v>
      </c>
      <c r="E38" s="6" t="s">
        <v>107</v>
      </c>
      <c r="F38" s="6" t="s">
        <v>81</v>
      </c>
      <c r="G38" s="6" t="s">
        <v>118</v>
      </c>
      <c r="H38" s="7" t="s">
        <v>47</v>
      </c>
      <c r="I38" s="8">
        <v>44317</v>
      </c>
      <c r="J38" s="46" t="str">
        <f>TEXT(Tabla1[[#This Row],[FECHA EVENTO]],"dddd")</f>
        <v>sábado</v>
      </c>
      <c r="K38" s="9" t="str">
        <f>TEXT(Tabla1[[#This Row],[FECHA EVENTO]], "[$-es-ES]mmmm")</f>
        <v>mayo</v>
      </c>
      <c r="L38" s="9">
        <f>YEAR(Tabla1[[#This Row],[FECHA EVENTO]])</f>
        <v>2021</v>
      </c>
      <c r="M38" s="47">
        <v>0.23380787037037035</v>
      </c>
      <c r="N38" s="12">
        <f>HOUR(Tabla1[[#This Row],[HORA]])</f>
        <v>5</v>
      </c>
      <c r="O38" s="12">
        <v>36</v>
      </c>
      <c r="P38" s="12">
        <v>41</v>
      </c>
      <c r="Q38" s="10">
        <v>0.23392361111111112</v>
      </c>
      <c r="R38" s="10">
        <v>0.24027777777777778</v>
      </c>
      <c r="S38" s="10">
        <v>1.1574074074077734E-4</v>
      </c>
      <c r="T38" s="59">
        <f>Tabla1[[#This Row],[LLEGADA GAM/POLICIA]]-Tabla1[[#This Row],[HORA GESTION]]</f>
        <v>6.3541666666666607E-3</v>
      </c>
      <c r="U38" s="12" t="s">
        <v>41</v>
      </c>
      <c r="V38" s="7" t="s">
        <v>38</v>
      </c>
      <c r="W38" s="7" t="s">
        <v>54</v>
      </c>
      <c r="X38" s="7" t="s">
        <v>49</v>
      </c>
      <c r="Y38" s="37">
        <v>325000000</v>
      </c>
      <c r="Z38" s="40">
        <v>0</v>
      </c>
      <c r="AA38" s="12" t="s">
        <v>41</v>
      </c>
      <c r="AB38" s="12" t="s">
        <v>42</v>
      </c>
      <c r="AC38" s="12" t="s">
        <v>69</v>
      </c>
      <c r="AD38" s="36" t="s">
        <v>43</v>
      </c>
      <c r="AE38" s="13"/>
    </row>
    <row r="39" spans="1:31">
      <c r="A39" s="5">
        <v>100027</v>
      </c>
      <c r="B39" s="6">
        <v>7419</v>
      </c>
      <c r="C39" s="6">
        <v>7425</v>
      </c>
      <c r="D39" s="6" t="s">
        <v>104</v>
      </c>
      <c r="E39" s="6" t="s">
        <v>107</v>
      </c>
      <c r="F39" s="6" t="s">
        <v>81</v>
      </c>
      <c r="G39" s="6" t="s">
        <v>119</v>
      </c>
      <c r="H39" s="7" t="s">
        <v>47</v>
      </c>
      <c r="I39" s="8">
        <v>44317</v>
      </c>
      <c r="J39" s="46" t="str">
        <f>TEXT(Tabla1[[#This Row],[FECHA EVENTO]],"dddd")</f>
        <v>sábado</v>
      </c>
      <c r="K39" s="9" t="str">
        <f>TEXT(Tabla1[[#This Row],[FECHA EVENTO]], "[$-es-ES]mmmm")</f>
        <v>mayo</v>
      </c>
      <c r="L39" s="9">
        <f>YEAR(Tabla1[[#This Row],[FECHA EVENTO]])</f>
        <v>2021</v>
      </c>
      <c r="M39" s="47">
        <v>0.23380787037037035</v>
      </c>
      <c r="N39" s="12">
        <f>HOUR(Tabla1[[#This Row],[HORA]])</f>
        <v>5</v>
      </c>
      <c r="O39" s="12">
        <v>36</v>
      </c>
      <c r="P39" s="12">
        <v>41</v>
      </c>
      <c r="Q39" s="10">
        <v>0.23392361111111112</v>
      </c>
      <c r="R39" s="10">
        <v>0.24027777777777778</v>
      </c>
      <c r="S39" s="10">
        <v>1.1574074074077734E-4</v>
      </c>
      <c r="T39" s="59">
        <f>Tabla1[[#This Row],[LLEGADA GAM/POLICIA]]-Tabla1[[#This Row],[HORA GESTION]]</f>
        <v>6.3541666666666607E-3</v>
      </c>
      <c r="U39" s="12" t="s">
        <v>55</v>
      </c>
      <c r="V39" s="7" t="s">
        <v>38</v>
      </c>
      <c r="W39" s="7" t="s">
        <v>54</v>
      </c>
      <c r="X39" s="7" t="s">
        <v>78</v>
      </c>
      <c r="Y39" s="37">
        <v>0</v>
      </c>
      <c r="Z39" s="40">
        <v>183960000</v>
      </c>
      <c r="AA39" s="12" t="s">
        <v>41</v>
      </c>
      <c r="AB39" s="12" t="s">
        <v>42</v>
      </c>
      <c r="AC39" s="12" t="s">
        <v>42</v>
      </c>
      <c r="AD39" s="36" t="s">
        <v>43</v>
      </c>
      <c r="AE39" s="13"/>
    </row>
    <row r="40" spans="1:31">
      <c r="A40" s="5">
        <v>100028</v>
      </c>
      <c r="B40" s="6">
        <v>1837</v>
      </c>
      <c r="C40" s="6">
        <v>1089</v>
      </c>
      <c r="D40" s="6" t="s">
        <v>104</v>
      </c>
      <c r="E40" s="6" t="s">
        <v>107</v>
      </c>
      <c r="F40" s="6" t="s">
        <v>34</v>
      </c>
      <c r="G40" s="6" t="s">
        <v>120</v>
      </c>
      <c r="H40" s="7" t="s">
        <v>87</v>
      </c>
      <c r="I40" s="8">
        <v>44319</v>
      </c>
      <c r="J40" s="46" t="str">
        <f>TEXT(Tabla1[[#This Row],[FECHA EVENTO]],"dddd")</f>
        <v>lunes</v>
      </c>
      <c r="K40" s="9" t="str">
        <f>TEXT(Tabla1[[#This Row],[FECHA EVENTO]], "[$-es-ES]mmmm")</f>
        <v>mayo</v>
      </c>
      <c r="L40" s="9">
        <f>YEAR(Tabla1[[#This Row],[FECHA EVENTO]])</f>
        <v>2021</v>
      </c>
      <c r="M40" s="47">
        <v>0.79537037037037039</v>
      </c>
      <c r="N40" s="12">
        <f>HOUR(Tabla1[[#This Row],[HORA]])</f>
        <v>19</v>
      </c>
      <c r="O40" s="12">
        <v>5</v>
      </c>
      <c r="P40" s="12">
        <v>20</v>
      </c>
      <c r="Q40" s="10">
        <v>0.79599537037037038</v>
      </c>
      <c r="R40" s="10">
        <v>0.79999999999999993</v>
      </c>
      <c r="S40" s="10">
        <v>6.2499999999998668E-4</v>
      </c>
      <c r="T40" s="59">
        <f>Tabla1[[#This Row],[LLEGADA GAM/POLICIA]]-Tabla1[[#This Row],[HORA GESTION]]</f>
        <v>4.0046296296295525E-3</v>
      </c>
      <c r="U40" s="12" t="s">
        <v>41</v>
      </c>
      <c r="V40" s="7" t="s">
        <v>38</v>
      </c>
      <c r="W40" s="7" t="s">
        <v>32</v>
      </c>
      <c r="X40" s="7" t="s">
        <v>117</v>
      </c>
      <c r="Y40" s="37">
        <v>271720000</v>
      </c>
      <c r="Z40" s="40">
        <v>0</v>
      </c>
      <c r="AA40" s="12" t="s">
        <v>55</v>
      </c>
      <c r="AB40" s="12" t="s">
        <v>42</v>
      </c>
      <c r="AC40" s="12" t="s">
        <v>69</v>
      </c>
      <c r="AD40" s="36" t="s">
        <v>43</v>
      </c>
      <c r="AE40" s="13"/>
    </row>
    <row r="41" spans="1:31">
      <c r="A41" s="5">
        <v>100029</v>
      </c>
      <c r="B41" s="6">
        <v>7142</v>
      </c>
      <c r="C41" s="6">
        <v>8683</v>
      </c>
      <c r="D41" s="6" t="s">
        <v>104</v>
      </c>
      <c r="E41" s="6" t="s">
        <v>98</v>
      </c>
      <c r="F41" s="6" t="s">
        <v>57</v>
      </c>
      <c r="G41" s="6" t="s">
        <v>121</v>
      </c>
      <c r="H41" s="7" t="s">
        <v>87</v>
      </c>
      <c r="I41" s="8">
        <v>44319</v>
      </c>
      <c r="J41" s="46" t="str">
        <f>TEXT(Tabla1[[#This Row],[FECHA EVENTO]],"dddd")</f>
        <v>lunes</v>
      </c>
      <c r="K41" s="9" t="str">
        <f>TEXT(Tabla1[[#This Row],[FECHA EVENTO]], "[$-es-ES]mmmm")</f>
        <v>mayo</v>
      </c>
      <c r="L41" s="9">
        <f>YEAR(Tabla1[[#This Row],[FECHA EVENTO]])</f>
        <v>2021</v>
      </c>
      <c r="M41" s="47">
        <v>0.90292824074074074</v>
      </c>
      <c r="N41" s="12">
        <f>HOUR(Tabla1[[#This Row],[HORA]])</f>
        <v>21</v>
      </c>
      <c r="O41" s="12">
        <v>40</v>
      </c>
      <c r="P41" s="12">
        <v>13</v>
      </c>
      <c r="Q41" s="10">
        <v>0.9040625000000001</v>
      </c>
      <c r="R41" s="10">
        <v>0.25694444444444448</v>
      </c>
      <c r="S41" s="10">
        <v>1.1342592592593626E-3</v>
      </c>
      <c r="T41" s="59">
        <f>Tabla1[[#This Row],[LLEGADA GAM/POLICIA]]-Tabla1[[#This Row],[HORA GESTION]]</f>
        <v>-0.64711805555555557</v>
      </c>
      <c r="U41" s="12" t="s">
        <v>55</v>
      </c>
      <c r="V41" s="7" t="s">
        <v>38</v>
      </c>
      <c r="W41" s="7" t="s">
        <v>32</v>
      </c>
      <c r="X41" s="7" t="s">
        <v>117</v>
      </c>
      <c r="Y41" s="37">
        <v>0</v>
      </c>
      <c r="Z41" s="40">
        <v>160910000</v>
      </c>
      <c r="AA41" s="12" t="s">
        <v>41</v>
      </c>
      <c r="AB41" s="12" t="s">
        <v>42</v>
      </c>
      <c r="AC41" s="12" t="s">
        <v>42</v>
      </c>
      <c r="AD41" s="36" t="s">
        <v>43</v>
      </c>
      <c r="AE41" s="13"/>
    </row>
    <row r="42" spans="1:31">
      <c r="A42" s="5">
        <v>100030</v>
      </c>
      <c r="B42" s="6">
        <v>1815</v>
      </c>
      <c r="C42" s="6">
        <v>4648</v>
      </c>
      <c r="D42" s="6" t="s">
        <v>104</v>
      </c>
      <c r="E42" s="6" t="s">
        <v>122</v>
      </c>
      <c r="F42" s="6" t="s">
        <v>105</v>
      </c>
      <c r="G42" s="6" t="s">
        <v>123</v>
      </c>
      <c r="H42" s="7" t="s">
        <v>87</v>
      </c>
      <c r="I42" s="8">
        <v>44321</v>
      </c>
      <c r="J42" s="46" t="str">
        <f>TEXT(Tabla1[[#This Row],[FECHA EVENTO]],"dddd")</f>
        <v>miércoles</v>
      </c>
      <c r="K42" s="9" t="str">
        <f>TEXT(Tabla1[[#This Row],[FECHA EVENTO]], "[$-es-ES]mmmm")</f>
        <v>mayo</v>
      </c>
      <c r="L42" s="9">
        <f>YEAR(Tabla1[[#This Row],[FECHA EVENTO]])</f>
        <v>2021</v>
      </c>
      <c r="M42" s="47">
        <v>0.62006944444444445</v>
      </c>
      <c r="N42" s="12">
        <f>HOUR(Tabla1[[#This Row],[HORA]])</f>
        <v>14</v>
      </c>
      <c r="O42" s="12">
        <v>52</v>
      </c>
      <c r="P42" s="12">
        <v>54</v>
      </c>
      <c r="Q42" s="10">
        <v>0.62010416666666668</v>
      </c>
      <c r="R42" s="10">
        <v>0.28125</v>
      </c>
      <c r="S42" s="10">
        <v>3.472222222222765E-5</v>
      </c>
      <c r="T42" s="59">
        <f>Tabla1[[#This Row],[LLEGADA GAM/POLICIA]]-Tabla1[[#This Row],[HORA GESTION]]</f>
        <v>-0.33885416666666668</v>
      </c>
      <c r="U42" s="12" t="s">
        <v>55</v>
      </c>
      <c r="V42" s="7" t="s">
        <v>38</v>
      </c>
      <c r="W42" s="7" t="s">
        <v>32</v>
      </c>
      <c r="X42" s="7" t="s">
        <v>117</v>
      </c>
      <c r="Y42" s="37">
        <v>0</v>
      </c>
      <c r="Z42" s="40">
        <v>259290000</v>
      </c>
      <c r="AA42" s="12" t="s">
        <v>41</v>
      </c>
      <c r="AB42" s="12" t="s">
        <v>42</v>
      </c>
      <c r="AC42" s="12" t="s">
        <v>42</v>
      </c>
      <c r="AD42" s="36" t="s">
        <v>43</v>
      </c>
      <c r="AE42" s="13"/>
    </row>
    <row r="43" spans="1:31">
      <c r="A43" s="5">
        <v>100031</v>
      </c>
      <c r="B43" s="6">
        <v>1815</v>
      </c>
      <c r="C43" s="6">
        <v>7231</v>
      </c>
      <c r="D43" s="6" t="s">
        <v>104</v>
      </c>
      <c r="E43" s="6" t="s">
        <v>101</v>
      </c>
      <c r="F43" s="6" t="s">
        <v>81</v>
      </c>
      <c r="G43" s="6" t="s">
        <v>124</v>
      </c>
      <c r="H43" s="7" t="s">
        <v>87</v>
      </c>
      <c r="I43" s="8">
        <v>44321</v>
      </c>
      <c r="J43" s="46" t="str">
        <f>TEXT(Tabla1[[#This Row],[FECHA EVENTO]],"dddd")</f>
        <v>miércoles</v>
      </c>
      <c r="K43" s="9" t="str">
        <f>TEXT(Tabla1[[#This Row],[FECHA EVENTO]], "[$-es-ES]mmmm")</f>
        <v>mayo</v>
      </c>
      <c r="L43" s="9">
        <f>YEAR(Tabla1[[#This Row],[FECHA EVENTO]])</f>
        <v>2021</v>
      </c>
      <c r="M43" s="47">
        <v>0.62006944444444445</v>
      </c>
      <c r="N43" s="12">
        <f>HOUR(Tabla1[[#This Row],[HORA]])</f>
        <v>14</v>
      </c>
      <c r="O43" s="12">
        <v>52</v>
      </c>
      <c r="P43" s="12">
        <v>54</v>
      </c>
      <c r="Q43" s="10">
        <v>0.62010416666666668</v>
      </c>
      <c r="R43" s="10">
        <v>0.28125</v>
      </c>
      <c r="S43" s="10">
        <v>3.472222222222765E-5</v>
      </c>
      <c r="T43" s="59">
        <v>0.66180555555555554</v>
      </c>
      <c r="U43" s="12" t="s">
        <v>55</v>
      </c>
      <c r="V43" s="7" t="s">
        <v>38</v>
      </c>
      <c r="W43" s="7" t="s">
        <v>32</v>
      </c>
      <c r="X43" s="7" t="s">
        <v>117</v>
      </c>
      <c r="Y43" s="37">
        <v>0</v>
      </c>
      <c r="Z43" s="40">
        <v>126520000</v>
      </c>
      <c r="AA43" s="12" t="s">
        <v>41</v>
      </c>
      <c r="AB43" s="12" t="s">
        <v>42</v>
      </c>
      <c r="AC43" s="12" t="s">
        <v>42</v>
      </c>
      <c r="AD43" s="36" t="s">
        <v>43</v>
      </c>
      <c r="AE43" s="13"/>
    </row>
    <row r="44" spans="1:31">
      <c r="A44" s="5">
        <v>100032</v>
      </c>
      <c r="B44" s="6">
        <v>1815</v>
      </c>
      <c r="C44" s="6">
        <v>815</v>
      </c>
      <c r="D44" s="6" t="s">
        <v>39</v>
      </c>
      <c r="E44" s="6" t="s">
        <v>69</v>
      </c>
      <c r="F44" s="6" t="s">
        <v>39</v>
      </c>
      <c r="G44" s="6" t="s">
        <v>125</v>
      </c>
      <c r="H44" s="7" t="s">
        <v>87</v>
      </c>
      <c r="I44" s="8">
        <v>44321</v>
      </c>
      <c r="J44" s="46" t="str">
        <f>TEXT(Tabla1[[#This Row],[FECHA EVENTO]],"dddd")</f>
        <v>miércoles</v>
      </c>
      <c r="K44" s="9" t="str">
        <f>TEXT(Tabla1[[#This Row],[FECHA EVENTO]], "[$-es-ES]mmmm")</f>
        <v>mayo</v>
      </c>
      <c r="L44" s="9">
        <f>YEAR(Tabla1[[#This Row],[FECHA EVENTO]])</f>
        <v>2021</v>
      </c>
      <c r="M44" s="47">
        <v>0.62006944444444445</v>
      </c>
      <c r="N44" s="12">
        <f>HOUR(Tabla1[[#This Row],[HORA]])</f>
        <v>14</v>
      </c>
      <c r="O44" s="12">
        <v>52</v>
      </c>
      <c r="P44" s="12">
        <v>54</v>
      </c>
      <c r="Q44" s="10">
        <v>0.62010416666666668</v>
      </c>
      <c r="R44" s="10">
        <v>0.28125</v>
      </c>
      <c r="S44" s="10">
        <v>3.472222222222765E-5</v>
      </c>
      <c r="T44" s="59">
        <v>0.66180555555555554</v>
      </c>
      <c r="U44" s="12" t="s">
        <v>55</v>
      </c>
      <c r="V44" s="7" t="s">
        <v>38</v>
      </c>
      <c r="W44" s="7" t="s">
        <v>39</v>
      </c>
      <c r="X44" s="7" t="s">
        <v>117</v>
      </c>
      <c r="Y44" s="37">
        <v>0</v>
      </c>
      <c r="Z44" s="40">
        <v>553314303</v>
      </c>
      <c r="AA44" s="12" t="s">
        <v>41</v>
      </c>
      <c r="AB44" s="12" t="s">
        <v>42</v>
      </c>
      <c r="AC44" s="12" t="s">
        <v>42</v>
      </c>
      <c r="AD44" s="36" t="s">
        <v>43</v>
      </c>
      <c r="AE44" s="13"/>
    </row>
    <row r="45" spans="1:31">
      <c r="A45" s="5">
        <v>100033</v>
      </c>
      <c r="B45" s="6">
        <v>8874</v>
      </c>
      <c r="C45" s="6">
        <v>8472</v>
      </c>
      <c r="D45" s="6" t="s">
        <v>104</v>
      </c>
      <c r="E45" s="6" t="s">
        <v>45</v>
      </c>
      <c r="F45" s="6" t="s">
        <v>81</v>
      </c>
      <c r="G45" s="6" t="s">
        <v>126</v>
      </c>
      <c r="H45" s="7" t="s">
        <v>53</v>
      </c>
      <c r="I45" s="8">
        <v>44324</v>
      </c>
      <c r="J45" s="46" t="str">
        <f>TEXT(Tabla1[[#This Row],[FECHA EVENTO]],"dddd")</f>
        <v>sábado</v>
      </c>
      <c r="K45" s="9" t="str">
        <f>TEXT(Tabla1[[#This Row],[FECHA EVENTO]], "[$-es-ES]mmmm")</f>
        <v>mayo</v>
      </c>
      <c r="L45" s="9">
        <f>YEAR(Tabla1[[#This Row],[FECHA EVENTO]])</f>
        <v>2021</v>
      </c>
      <c r="M45" s="47">
        <v>0.80050925925925931</v>
      </c>
      <c r="N45" s="12">
        <f>HOUR(Tabla1[[#This Row],[HORA]])</f>
        <v>19</v>
      </c>
      <c r="O45" s="12">
        <v>12</v>
      </c>
      <c r="P45" s="12">
        <v>44</v>
      </c>
      <c r="Q45" s="10">
        <v>0.80077546296296298</v>
      </c>
      <c r="R45" s="10">
        <v>0.81736111111111109</v>
      </c>
      <c r="S45" s="10">
        <v>2.662037037036713E-4</v>
      </c>
      <c r="T45" s="59">
        <v>1.6585648148148113E-2</v>
      </c>
      <c r="U45" s="12" t="s">
        <v>41</v>
      </c>
      <c r="V45" s="7" t="s">
        <v>38</v>
      </c>
      <c r="W45" s="7" t="s">
        <v>54</v>
      </c>
      <c r="X45" s="7" t="s">
        <v>75</v>
      </c>
      <c r="Y45" s="37">
        <v>231290000</v>
      </c>
      <c r="Z45" s="40">
        <v>0</v>
      </c>
      <c r="AA45" s="12" t="s">
        <v>41</v>
      </c>
      <c r="AB45" s="12" t="s">
        <v>42</v>
      </c>
      <c r="AC45" s="12" t="s">
        <v>42</v>
      </c>
      <c r="AD45" s="36" t="s">
        <v>43</v>
      </c>
      <c r="AE45" s="13"/>
    </row>
    <row r="46" spans="1:31">
      <c r="A46" s="5">
        <v>100034</v>
      </c>
      <c r="B46" s="6">
        <v>8754</v>
      </c>
      <c r="C46" s="6">
        <v>4827</v>
      </c>
      <c r="D46" s="6" t="s">
        <v>32</v>
      </c>
      <c r="E46" s="6" t="s">
        <v>107</v>
      </c>
      <c r="F46" s="6" t="s">
        <v>34</v>
      </c>
      <c r="G46" s="6" t="s">
        <v>127</v>
      </c>
      <c r="H46" s="7" t="s">
        <v>47</v>
      </c>
      <c r="I46" s="8">
        <v>44336</v>
      </c>
      <c r="J46" s="46" t="str">
        <f>TEXT(Tabla1[[#This Row],[FECHA EVENTO]],"dddd")</f>
        <v>jueves</v>
      </c>
      <c r="K46" s="9" t="str">
        <f>TEXT(Tabla1[[#This Row],[FECHA EVENTO]], "[$-es-ES]mmmm")</f>
        <v>mayo</v>
      </c>
      <c r="L46" s="9">
        <f>YEAR(Tabla1[[#This Row],[FECHA EVENTO]])</f>
        <v>2021</v>
      </c>
      <c r="M46" s="47">
        <v>0.31504629629629627</v>
      </c>
      <c r="N46" s="12">
        <f>HOUR(Tabla1[[#This Row],[HORA]])</f>
        <v>7</v>
      </c>
      <c r="O46" s="12">
        <v>33</v>
      </c>
      <c r="P46" s="12">
        <v>40</v>
      </c>
      <c r="Q46" s="10">
        <v>0.31515046296296295</v>
      </c>
      <c r="R46" s="10">
        <v>0.32916666666666666</v>
      </c>
      <c r="S46" s="10">
        <v>1.0416666666668295E-4</v>
      </c>
      <c r="T46" s="59">
        <v>1.4016203703703711E-2</v>
      </c>
      <c r="U46" s="12" t="s">
        <v>55</v>
      </c>
      <c r="V46" s="7" t="s">
        <v>38</v>
      </c>
      <c r="W46" s="7" t="s">
        <v>54</v>
      </c>
      <c r="X46" s="7" t="s">
        <v>78</v>
      </c>
      <c r="Y46" s="37">
        <v>0</v>
      </c>
      <c r="Z46" s="40">
        <v>318210000</v>
      </c>
      <c r="AA46" s="12" t="s">
        <v>41</v>
      </c>
      <c r="AB46" s="12" t="s">
        <v>42</v>
      </c>
      <c r="AC46" s="12" t="s">
        <v>42</v>
      </c>
      <c r="AD46" s="36" t="s">
        <v>43</v>
      </c>
      <c r="AE46" s="13" t="s">
        <v>114</v>
      </c>
    </row>
    <row r="47" spans="1:31">
      <c r="A47" s="5">
        <v>100035</v>
      </c>
      <c r="B47" s="6">
        <v>8741</v>
      </c>
      <c r="C47" s="6">
        <v>3262</v>
      </c>
      <c r="D47" s="6" t="s">
        <v>104</v>
      </c>
      <c r="E47" s="6" t="s">
        <v>107</v>
      </c>
      <c r="F47" s="6" t="s">
        <v>81</v>
      </c>
      <c r="G47" s="6" t="s">
        <v>128</v>
      </c>
      <c r="H47" s="7" t="s">
        <v>47</v>
      </c>
      <c r="I47" s="8">
        <v>44338</v>
      </c>
      <c r="J47" s="46" t="str">
        <f>TEXT(Tabla1[[#This Row],[FECHA EVENTO]],"dddd")</f>
        <v>sábado</v>
      </c>
      <c r="K47" s="9" t="str">
        <f>TEXT(Tabla1[[#This Row],[FECHA EVENTO]], "[$-es-ES]mmmm")</f>
        <v>mayo</v>
      </c>
      <c r="L47" s="9">
        <f>YEAR(Tabla1[[#This Row],[FECHA EVENTO]])</f>
        <v>2021</v>
      </c>
      <c r="M47" s="47">
        <v>7.9606481481481486E-2</v>
      </c>
      <c r="N47" s="12">
        <f>HOUR(Tabla1[[#This Row],[HORA]])</f>
        <v>1</v>
      </c>
      <c r="O47" s="12">
        <v>54</v>
      </c>
      <c r="P47" s="12">
        <v>38</v>
      </c>
      <c r="Q47" s="10">
        <v>8.0243055555555554E-2</v>
      </c>
      <c r="R47" s="10">
        <v>9.2361111111111116E-2</v>
      </c>
      <c r="S47" s="10">
        <v>6.3657407407406719E-4</v>
      </c>
      <c r="T47" s="59">
        <v>1.2118055555555562E-2</v>
      </c>
      <c r="U47" s="12" t="s">
        <v>55</v>
      </c>
      <c r="V47" s="7" t="s">
        <v>38</v>
      </c>
      <c r="W47" s="7" t="s">
        <v>54</v>
      </c>
      <c r="X47" s="7" t="s">
        <v>75</v>
      </c>
      <c r="Y47" s="37">
        <v>0</v>
      </c>
      <c r="Z47" s="40">
        <v>253980000</v>
      </c>
      <c r="AA47" s="12" t="s">
        <v>41</v>
      </c>
      <c r="AB47" s="12" t="s">
        <v>42</v>
      </c>
      <c r="AC47" s="12" t="s">
        <v>42</v>
      </c>
      <c r="AD47" s="36" t="s">
        <v>43</v>
      </c>
      <c r="AE47" s="13"/>
    </row>
    <row r="48" spans="1:31">
      <c r="A48" s="5">
        <v>100036</v>
      </c>
      <c r="B48" s="6">
        <v>7640</v>
      </c>
      <c r="C48" s="6">
        <v>6649</v>
      </c>
      <c r="D48" s="6" t="s">
        <v>104</v>
      </c>
      <c r="E48" s="6" t="s">
        <v>45</v>
      </c>
      <c r="F48" s="6" t="s">
        <v>81</v>
      </c>
      <c r="G48" s="6" t="s">
        <v>129</v>
      </c>
      <c r="H48" s="7" t="s">
        <v>130</v>
      </c>
      <c r="I48" s="8">
        <v>44344</v>
      </c>
      <c r="J48" s="46" t="str">
        <f>TEXT(Tabla1[[#This Row],[FECHA EVENTO]],"dddd")</f>
        <v>viernes</v>
      </c>
      <c r="K48" s="9" t="str">
        <f>TEXT(Tabla1[[#This Row],[FECHA EVENTO]], "[$-es-ES]mmmm")</f>
        <v>mayo</v>
      </c>
      <c r="L48" s="9">
        <f>YEAR(Tabla1[[#This Row],[FECHA EVENTO]])</f>
        <v>2021</v>
      </c>
      <c r="M48" s="47">
        <v>0.91927083333333337</v>
      </c>
      <c r="N48" s="12">
        <f>HOUR(Tabla1[[#This Row],[HORA]])</f>
        <v>22</v>
      </c>
      <c r="O48" s="12">
        <v>3</v>
      </c>
      <c r="P48" s="12">
        <v>45</v>
      </c>
      <c r="Q48" s="10">
        <v>0.91935185185185186</v>
      </c>
      <c r="R48" s="10">
        <v>0.94374999999999998</v>
      </c>
      <c r="S48" s="10">
        <v>8.1018518518494176E-5</v>
      </c>
      <c r="T48" s="59">
        <v>2.4398148148148113E-2</v>
      </c>
      <c r="U48" s="12" t="s">
        <v>55</v>
      </c>
      <c r="V48" s="7" t="s">
        <v>38</v>
      </c>
      <c r="W48" s="7" t="s">
        <v>54</v>
      </c>
      <c r="X48" s="7" t="s">
        <v>78</v>
      </c>
      <c r="Y48" s="37">
        <v>0</v>
      </c>
      <c r="Z48" s="40">
        <v>289520000</v>
      </c>
      <c r="AA48" s="12" t="s">
        <v>41</v>
      </c>
      <c r="AB48" s="12" t="s">
        <v>42</v>
      </c>
      <c r="AC48" s="12" t="s">
        <v>42</v>
      </c>
      <c r="AD48" s="36" t="s">
        <v>43</v>
      </c>
      <c r="AE48" s="13"/>
    </row>
    <row r="49" spans="1:31">
      <c r="A49" s="5">
        <v>100037</v>
      </c>
      <c r="B49" s="6">
        <v>9901</v>
      </c>
      <c r="C49" s="6">
        <v>195</v>
      </c>
      <c r="D49" s="6" t="s">
        <v>104</v>
      </c>
      <c r="E49" s="6" t="s">
        <v>107</v>
      </c>
      <c r="F49" s="6" t="s">
        <v>34</v>
      </c>
      <c r="G49" s="6" t="s">
        <v>131</v>
      </c>
      <c r="H49" s="7" t="s">
        <v>47</v>
      </c>
      <c r="I49" s="8">
        <v>44347</v>
      </c>
      <c r="J49" s="46" t="str">
        <f>TEXT(Tabla1[[#This Row],[FECHA EVENTO]],"dddd")</f>
        <v>lunes</v>
      </c>
      <c r="K49" s="9" t="str">
        <f>TEXT(Tabla1[[#This Row],[FECHA EVENTO]], "[$-es-ES]mmmm")</f>
        <v>mayo</v>
      </c>
      <c r="L49" s="9">
        <f>YEAR(Tabla1[[#This Row],[FECHA EVENTO]])</f>
        <v>2021</v>
      </c>
      <c r="M49" s="47">
        <v>1.5995370370370372E-2</v>
      </c>
      <c r="N49" s="12">
        <f>HOUR(Tabla1[[#This Row],[HORA]])</f>
        <v>0</v>
      </c>
      <c r="O49" s="12">
        <v>23</v>
      </c>
      <c r="P49" s="12">
        <v>2</v>
      </c>
      <c r="Q49" s="10">
        <v>1.6168981481481482E-2</v>
      </c>
      <c r="R49" s="10">
        <v>7.8472222222222221E-2</v>
      </c>
      <c r="S49" s="10">
        <v>1.7361111111111049E-4</v>
      </c>
      <c r="T49" s="59">
        <v>6.2303240740740742E-2</v>
      </c>
      <c r="U49" s="12" t="s">
        <v>55</v>
      </c>
      <c r="V49" s="7" t="s">
        <v>38</v>
      </c>
      <c r="W49" s="7" t="s">
        <v>32</v>
      </c>
      <c r="X49" s="7" t="s">
        <v>49</v>
      </c>
      <c r="Y49" s="37">
        <v>0</v>
      </c>
      <c r="Z49" s="40">
        <v>0</v>
      </c>
      <c r="AA49" s="12" t="s">
        <v>41</v>
      </c>
      <c r="AB49" s="12" t="s">
        <v>42</v>
      </c>
      <c r="AC49" s="12" t="s">
        <v>69</v>
      </c>
      <c r="AD49" s="36" t="s">
        <v>43</v>
      </c>
      <c r="AE49" s="7" t="s">
        <v>132</v>
      </c>
    </row>
    <row r="50" spans="1:31">
      <c r="A50" s="5">
        <v>100038</v>
      </c>
      <c r="B50" s="6">
        <v>9901</v>
      </c>
      <c r="C50" s="6">
        <v>195</v>
      </c>
      <c r="D50" s="6" t="s">
        <v>104</v>
      </c>
      <c r="E50" s="6" t="s">
        <v>107</v>
      </c>
      <c r="F50" s="6" t="s">
        <v>34</v>
      </c>
      <c r="G50" s="6" t="s">
        <v>131</v>
      </c>
      <c r="H50" s="7" t="s">
        <v>47</v>
      </c>
      <c r="I50" s="8">
        <v>44350</v>
      </c>
      <c r="J50" s="46" t="str">
        <f>TEXT(Tabla1[[#This Row],[FECHA EVENTO]],"dddd")</f>
        <v>jueves</v>
      </c>
      <c r="K50" s="9" t="str">
        <f>TEXT(Tabla1[[#This Row],[FECHA EVENTO]], "[$-es-ES]mmmm")</f>
        <v>junio</v>
      </c>
      <c r="L50" s="9">
        <f>YEAR(Tabla1[[#This Row],[FECHA EVENTO]])</f>
        <v>2021</v>
      </c>
      <c r="M50" s="47">
        <v>2.0254629629629629E-2</v>
      </c>
      <c r="N50" s="12">
        <f>HOUR(Tabla1[[#This Row],[HORA]])</f>
        <v>0</v>
      </c>
      <c r="O50" s="12">
        <v>29</v>
      </c>
      <c r="P50" s="12">
        <v>10</v>
      </c>
      <c r="Q50" s="10">
        <v>2.1574074074074075E-2</v>
      </c>
      <c r="R50" s="10">
        <v>0.10208333333333335</v>
      </c>
      <c r="S50" s="10">
        <v>1.319444444444446E-3</v>
      </c>
      <c r="T50" s="59">
        <v>8.0509259259259267E-2</v>
      </c>
      <c r="U50" s="12" t="s">
        <v>41</v>
      </c>
      <c r="V50" s="7" t="s">
        <v>38</v>
      </c>
      <c r="W50" s="7" t="s">
        <v>32</v>
      </c>
      <c r="X50" s="7" t="s">
        <v>49</v>
      </c>
      <c r="Y50" s="37">
        <v>0</v>
      </c>
      <c r="Z50" s="40">
        <v>0</v>
      </c>
      <c r="AA50" s="12" t="s">
        <v>55</v>
      </c>
      <c r="AB50" s="12" t="s">
        <v>42</v>
      </c>
      <c r="AC50" s="12" t="s">
        <v>69</v>
      </c>
      <c r="AD50" s="36" t="s">
        <v>43</v>
      </c>
      <c r="AE50" s="7" t="s">
        <v>132</v>
      </c>
    </row>
    <row r="51" spans="1:31">
      <c r="A51" s="5">
        <v>100039</v>
      </c>
      <c r="B51" s="6">
        <v>8879</v>
      </c>
      <c r="C51" s="6">
        <v>1877</v>
      </c>
      <c r="D51" s="6" t="s">
        <v>104</v>
      </c>
      <c r="E51" s="6" t="s">
        <v>107</v>
      </c>
      <c r="F51" s="6" t="s">
        <v>57</v>
      </c>
      <c r="G51" s="6" t="s">
        <v>133</v>
      </c>
      <c r="H51" s="7" t="s">
        <v>36</v>
      </c>
      <c r="I51" s="8">
        <v>44350</v>
      </c>
      <c r="J51" s="46" t="str">
        <f>TEXT(Tabla1[[#This Row],[FECHA EVENTO]],"dddd")</f>
        <v>jueves</v>
      </c>
      <c r="K51" s="9" t="str">
        <f>TEXT(Tabla1[[#This Row],[FECHA EVENTO]], "[$-es-ES]mmmm")</f>
        <v>junio</v>
      </c>
      <c r="L51" s="9">
        <f>YEAR(Tabla1[[#This Row],[FECHA EVENTO]])</f>
        <v>2021</v>
      </c>
      <c r="M51" s="47">
        <v>7.6666666666666661E-2</v>
      </c>
      <c r="N51" s="12">
        <f>HOUR(Tabla1[[#This Row],[HORA]])</f>
        <v>1</v>
      </c>
      <c r="O51" s="12">
        <v>50</v>
      </c>
      <c r="P51" s="12">
        <v>24</v>
      </c>
      <c r="Q51" s="10">
        <v>7.7025462962962962E-2</v>
      </c>
      <c r="R51" s="10">
        <v>8.4027777777777771E-2</v>
      </c>
      <c r="S51" s="10">
        <v>3.587962962963015E-4</v>
      </c>
      <c r="T51" s="59">
        <v>7.0023148148148084E-3</v>
      </c>
      <c r="U51" s="12" t="s">
        <v>41</v>
      </c>
      <c r="V51" s="7" t="s">
        <v>38</v>
      </c>
      <c r="W51" s="7" t="s">
        <v>54</v>
      </c>
      <c r="X51" s="7" t="s">
        <v>75</v>
      </c>
      <c r="Y51" s="37">
        <v>250070000</v>
      </c>
      <c r="Z51" s="40">
        <v>0</v>
      </c>
      <c r="AA51" s="12" t="s">
        <v>41</v>
      </c>
      <c r="AB51" s="12" t="s">
        <v>42</v>
      </c>
      <c r="AC51" s="12" t="s">
        <v>69</v>
      </c>
      <c r="AD51" s="36" t="s">
        <v>43</v>
      </c>
      <c r="AE51" s="13"/>
    </row>
    <row r="52" spans="1:31">
      <c r="A52" s="5">
        <v>100040</v>
      </c>
      <c r="B52" s="6">
        <v>1183</v>
      </c>
      <c r="C52" s="6">
        <v>183</v>
      </c>
      <c r="D52" s="6" t="s">
        <v>39</v>
      </c>
      <c r="E52" s="6" t="s">
        <v>69</v>
      </c>
      <c r="F52" s="6" t="s">
        <v>39</v>
      </c>
      <c r="G52" s="6" t="s">
        <v>88</v>
      </c>
      <c r="H52" s="7" t="s">
        <v>47</v>
      </c>
      <c r="I52" s="8">
        <v>44354</v>
      </c>
      <c r="J52" s="46" t="str">
        <f>TEXT(Tabla1[[#This Row],[FECHA EVENTO]],"dddd")</f>
        <v>lunes</v>
      </c>
      <c r="K52" s="9" t="str">
        <f>TEXT(Tabla1[[#This Row],[FECHA EVENTO]], "[$-es-ES]mmmm")</f>
        <v>junio</v>
      </c>
      <c r="L52" s="9">
        <f>YEAR(Tabla1[[#This Row],[FECHA EVENTO]])</f>
        <v>2021</v>
      </c>
      <c r="M52" s="47">
        <v>0.16920138888888889</v>
      </c>
      <c r="N52" s="12">
        <f>HOUR(Tabla1[[#This Row],[HORA]])</f>
        <v>4</v>
      </c>
      <c r="O52" s="12">
        <v>3</v>
      </c>
      <c r="P52" s="12">
        <v>39</v>
      </c>
      <c r="Q52" s="10">
        <v>0.16950231481481481</v>
      </c>
      <c r="R52" s="10">
        <v>0.19166666666666665</v>
      </c>
      <c r="S52" s="10">
        <v>3.0092592592592671E-4</v>
      </c>
      <c r="T52" s="59">
        <v>2.2164351851851838E-2</v>
      </c>
      <c r="U52" s="12" t="s">
        <v>41</v>
      </c>
      <c r="V52" s="7" t="s">
        <v>38</v>
      </c>
      <c r="W52" s="7" t="s">
        <v>32</v>
      </c>
      <c r="X52" s="7" t="s">
        <v>91</v>
      </c>
      <c r="Y52" s="37">
        <v>3328000000</v>
      </c>
      <c r="Z52" s="40">
        <v>0</v>
      </c>
      <c r="AA52" s="12" t="s">
        <v>41</v>
      </c>
      <c r="AB52" s="12" t="s">
        <v>42</v>
      </c>
      <c r="AC52" s="12" t="s">
        <v>69</v>
      </c>
      <c r="AD52" s="36" t="s">
        <v>43</v>
      </c>
      <c r="AE52" s="13"/>
    </row>
    <row r="53" spans="1:31">
      <c r="A53" s="5">
        <v>100041</v>
      </c>
      <c r="B53" s="6">
        <v>7292</v>
      </c>
      <c r="C53" s="6">
        <v>8127</v>
      </c>
      <c r="D53" s="6" t="s">
        <v>104</v>
      </c>
      <c r="E53" s="6" t="s">
        <v>101</v>
      </c>
      <c r="F53" s="6" t="s">
        <v>34</v>
      </c>
      <c r="G53" s="6" t="s">
        <v>134</v>
      </c>
      <c r="H53" s="7" t="s">
        <v>47</v>
      </c>
      <c r="I53" s="8">
        <v>44357</v>
      </c>
      <c r="J53" s="46" t="str">
        <f>TEXT(Tabla1[[#This Row],[FECHA EVENTO]],"dddd")</f>
        <v>jueves</v>
      </c>
      <c r="K53" s="9" t="str">
        <f>TEXT(Tabla1[[#This Row],[FECHA EVENTO]], "[$-es-ES]mmmm")</f>
        <v>junio</v>
      </c>
      <c r="L53" s="9">
        <f>YEAR(Tabla1[[#This Row],[FECHA EVENTO]])</f>
        <v>2021</v>
      </c>
      <c r="M53" s="47">
        <v>6.4456018518518524E-2</v>
      </c>
      <c r="N53" s="12">
        <f>HOUR(Tabla1[[#This Row],[HORA]])</f>
        <v>1</v>
      </c>
      <c r="O53" s="12">
        <v>32</v>
      </c>
      <c r="P53" s="12">
        <v>49</v>
      </c>
      <c r="Q53" s="10">
        <v>6.4664351851851862E-2</v>
      </c>
      <c r="R53" s="10">
        <v>7.7777777777777779E-2</v>
      </c>
      <c r="S53" s="10">
        <v>2.0833333333333814E-4</v>
      </c>
      <c r="T53" s="59">
        <v>1.3113425925925917E-2</v>
      </c>
      <c r="U53" s="12" t="s">
        <v>41</v>
      </c>
      <c r="V53" s="7" t="s">
        <v>38</v>
      </c>
      <c r="W53" s="7" t="s">
        <v>54</v>
      </c>
      <c r="X53" s="7" t="s">
        <v>75</v>
      </c>
      <c r="Y53" s="37">
        <v>164230000</v>
      </c>
      <c r="Z53" s="40">
        <v>0</v>
      </c>
      <c r="AA53" s="12" t="s">
        <v>41</v>
      </c>
      <c r="AB53" s="12" t="s">
        <v>42</v>
      </c>
      <c r="AC53" s="12" t="s">
        <v>69</v>
      </c>
      <c r="AD53" s="36" t="s">
        <v>43</v>
      </c>
      <c r="AE53" s="13"/>
    </row>
    <row r="54" spans="1:31">
      <c r="A54" s="5">
        <v>100042</v>
      </c>
      <c r="B54" s="6">
        <v>9602</v>
      </c>
      <c r="C54" s="6">
        <v>4362</v>
      </c>
      <c r="D54" s="6" t="s">
        <v>104</v>
      </c>
      <c r="E54" s="6" t="s">
        <v>107</v>
      </c>
      <c r="F54" s="6" t="s">
        <v>81</v>
      </c>
      <c r="G54" s="6" t="s">
        <v>135</v>
      </c>
      <c r="H54" s="7" t="s">
        <v>87</v>
      </c>
      <c r="I54" s="8">
        <v>44359</v>
      </c>
      <c r="J54" s="46" t="str">
        <f>TEXT(Tabla1[[#This Row],[FECHA EVENTO]],"dddd")</f>
        <v>sábado</v>
      </c>
      <c r="K54" s="9" t="str">
        <f>TEXT(Tabla1[[#This Row],[FECHA EVENTO]], "[$-es-ES]mmmm")</f>
        <v>junio</v>
      </c>
      <c r="L54" s="9">
        <f>YEAR(Tabla1[[#This Row],[FECHA EVENTO]])</f>
        <v>2021</v>
      </c>
      <c r="M54" s="47">
        <v>0.99180555555555561</v>
      </c>
      <c r="N54" s="12">
        <f>HOUR(Tabla1[[#This Row],[HORA]])</f>
        <v>23</v>
      </c>
      <c r="O54" s="12">
        <v>48</v>
      </c>
      <c r="P54" s="12">
        <v>12</v>
      </c>
      <c r="Q54" s="10">
        <v>0.99193287037037037</v>
      </c>
      <c r="R54" s="10">
        <v>0.27083333333333331</v>
      </c>
      <c r="S54" s="10">
        <v>1.273148148147607E-4</v>
      </c>
      <c r="T54" s="59">
        <v>0.27916666666666667</v>
      </c>
      <c r="U54" s="12" t="s">
        <v>41</v>
      </c>
      <c r="V54" s="7" t="s">
        <v>38</v>
      </c>
      <c r="W54" s="7" t="s">
        <v>54</v>
      </c>
      <c r="X54" s="7" t="s">
        <v>49</v>
      </c>
      <c r="Y54" s="37">
        <v>175560000</v>
      </c>
      <c r="Z54" s="40">
        <v>0</v>
      </c>
      <c r="AA54" s="12" t="s">
        <v>41</v>
      </c>
      <c r="AB54" s="12" t="s">
        <v>42</v>
      </c>
      <c r="AC54" s="12" t="s">
        <v>69</v>
      </c>
      <c r="AD54" s="36" t="s">
        <v>43</v>
      </c>
      <c r="AE54" s="13"/>
    </row>
    <row r="55" spans="1:31">
      <c r="A55" s="5">
        <v>100043</v>
      </c>
      <c r="B55" s="6">
        <v>1217</v>
      </c>
      <c r="C55" s="6">
        <v>1066</v>
      </c>
      <c r="D55" s="6" t="s">
        <v>104</v>
      </c>
      <c r="E55" s="6" t="s">
        <v>107</v>
      </c>
      <c r="F55" s="6" t="s">
        <v>34</v>
      </c>
      <c r="G55" s="6" t="s">
        <v>136</v>
      </c>
      <c r="H55" s="7" t="s">
        <v>47</v>
      </c>
      <c r="I55" s="8">
        <v>44364</v>
      </c>
      <c r="J55" s="46" t="str">
        <f>TEXT(Tabla1[[#This Row],[FECHA EVENTO]],"dddd")</f>
        <v>jueves</v>
      </c>
      <c r="K55" s="9" t="str">
        <f>TEXT(Tabla1[[#This Row],[FECHA EVENTO]], "[$-es-ES]mmmm")</f>
        <v>junio</v>
      </c>
      <c r="L55" s="9">
        <f>YEAR(Tabla1[[#This Row],[FECHA EVENTO]])</f>
        <v>2021</v>
      </c>
      <c r="M55" s="47">
        <v>0.30251157407407409</v>
      </c>
      <c r="N55" s="12">
        <f>HOUR(Tabla1[[#This Row],[HORA]])</f>
        <v>7</v>
      </c>
      <c r="O55" s="12">
        <v>15</v>
      </c>
      <c r="P55" s="12">
        <v>37</v>
      </c>
      <c r="Q55" s="10">
        <v>0.30259259259259258</v>
      </c>
      <c r="R55" s="10">
        <v>0.31041666666666667</v>
      </c>
      <c r="S55" s="10">
        <v>8.1018518518494176E-5</v>
      </c>
      <c r="T55" s="59">
        <v>7.8240740740740944E-3</v>
      </c>
      <c r="U55" s="12" t="s">
        <v>55</v>
      </c>
      <c r="V55" s="7" t="s">
        <v>38</v>
      </c>
      <c r="W55" s="7" t="s">
        <v>54</v>
      </c>
      <c r="X55" s="7" t="s">
        <v>78</v>
      </c>
      <c r="Y55" s="37">
        <v>0</v>
      </c>
      <c r="Z55" s="40">
        <v>273820000</v>
      </c>
      <c r="AA55" s="12" t="s">
        <v>41</v>
      </c>
      <c r="AB55" s="12" t="s">
        <v>42</v>
      </c>
      <c r="AC55" s="12" t="s">
        <v>42</v>
      </c>
      <c r="AD55" s="36" t="s">
        <v>43</v>
      </c>
      <c r="AE55" s="13"/>
    </row>
    <row r="56" spans="1:31">
      <c r="A56" s="5">
        <v>100044</v>
      </c>
      <c r="B56" s="6">
        <v>7281</v>
      </c>
      <c r="C56" s="6">
        <v>8128</v>
      </c>
      <c r="D56" s="6" t="s">
        <v>104</v>
      </c>
      <c r="E56" s="6" t="s">
        <v>107</v>
      </c>
      <c r="F56" s="6" t="s">
        <v>34</v>
      </c>
      <c r="G56" s="6" t="s">
        <v>137</v>
      </c>
      <c r="H56" s="7" t="s">
        <v>53</v>
      </c>
      <c r="I56" s="8">
        <v>44391</v>
      </c>
      <c r="J56" s="46" t="str">
        <f>TEXT(Tabla1[[#This Row],[FECHA EVENTO]],"dddd")</f>
        <v>miércoles</v>
      </c>
      <c r="K56" s="9" t="str">
        <f>TEXT(Tabla1[[#This Row],[FECHA EVENTO]], "[$-es-ES]mmmm")</f>
        <v>julio</v>
      </c>
      <c r="L56" s="9">
        <f>YEAR(Tabla1[[#This Row],[FECHA EVENTO]])</f>
        <v>2021</v>
      </c>
      <c r="M56" s="47">
        <v>0.59152777777777776</v>
      </c>
      <c r="N56" s="12">
        <f>HOUR(Tabla1[[#This Row],[HORA]])</f>
        <v>14</v>
      </c>
      <c r="O56" s="12">
        <v>11</v>
      </c>
      <c r="P56" s="12">
        <v>48</v>
      </c>
      <c r="Q56" s="10">
        <v>0.59152777777777776</v>
      </c>
      <c r="R56" s="10">
        <v>0.61736111111111114</v>
      </c>
      <c r="S56" s="10">
        <v>0</v>
      </c>
      <c r="T56" s="59">
        <v>2.5833333333333375E-2</v>
      </c>
      <c r="U56" s="12" t="s">
        <v>41</v>
      </c>
      <c r="V56" s="7" t="s">
        <v>38</v>
      </c>
      <c r="W56" s="7" t="s">
        <v>32</v>
      </c>
      <c r="X56" s="7" t="s">
        <v>49</v>
      </c>
      <c r="Y56" s="37">
        <v>288380000</v>
      </c>
      <c r="Z56" s="40">
        <v>0</v>
      </c>
      <c r="AA56" s="12" t="s">
        <v>41</v>
      </c>
      <c r="AB56" s="12" t="s">
        <v>42</v>
      </c>
      <c r="AC56" s="12" t="s">
        <v>69</v>
      </c>
      <c r="AD56" s="36" t="s">
        <v>43</v>
      </c>
      <c r="AE56" s="7" t="s">
        <v>138</v>
      </c>
    </row>
    <row r="57" spans="1:31">
      <c r="A57" s="5">
        <v>100045</v>
      </c>
      <c r="B57" s="6">
        <v>9893</v>
      </c>
      <c r="C57" s="6">
        <v>73</v>
      </c>
      <c r="D57" s="6" t="s">
        <v>104</v>
      </c>
      <c r="E57" s="6" t="s">
        <v>107</v>
      </c>
      <c r="F57" s="6" t="s">
        <v>34</v>
      </c>
      <c r="G57" s="6" t="s">
        <v>139</v>
      </c>
      <c r="H57" s="7" t="s">
        <v>47</v>
      </c>
      <c r="I57" s="8">
        <v>44392</v>
      </c>
      <c r="J57" s="46" t="str">
        <f>TEXT(Tabla1[[#This Row],[FECHA EVENTO]],"dddd")</f>
        <v>jueves</v>
      </c>
      <c r="K57" s="9" t="str">
        <f>TEXT(Tabla1[[#This Row],[FECHA EVENTO]], "[$-es-ES]mmmm")</f>
        <v>julio</v>
      </c>
      <c r="L57" s="9">
        <f>YEAR(Tabla1[[#This Row],[FECHA EVENTO]])</f>
        <v>2021</v>
      </c>
      <c r="M57" s="47">
        <v>0.34711805555555553</v>
      </c>
      <c r="N57" s="12">
        <f>HOUR(Tabla1[[#This Row],[HORA]])</f>
        <v>8</v>
      </c>
      <c r="O57" s="12">
        <v>19</v>
      </c>
      <c r="P57" s="12">
        <v>51</v>
      </c>
      <c r="Q57" s="10">
        <v>0.34944444444444445</v>
      </c>
      <c r="R57" s="10">
        <v>0.37953703703703701</v>
      </c>
      <c r="S57" s="10">
        <v>2.3263888888889195E-3</v>
      </c>
      <c r="T57" s="59">
        <v>3.009259259259256E-2</v>
      </c>
      <c r="U57" s="12" t="s">
        <v>41</v>
      </c>
      <c r="V57" s="7" t="s">
        <v>38</v>
      </c>
      <c r="W57" s="7" t="s">
        <v>32</v>
      </c>
      <c r="X57" s="7" t="s">
        <v>49</v>
      </c>
      <c r="Y57" s="37">
        <v>323470000</v>
      </c>
      <c r="Z57" s="40">
        <v>0</v>
      </c>
      <c r="AA57" s="12" t="s">
        <v>41</v>
      </c>
      <c r="AB57" s="12" t="s">
        <v>42</v>
      </c>
      <c r="AC57" s="12" t="s">
        <v>69</v>
      </c>
      <c r="AD57" s="36" t="s">
        <v>43</v>
      </c>
      <c r="AE57" s="7" t="s">
        <v>138</v>
      </c>
    </row>
    <row r="58" spans="1:31">
      <c r="A58" s="5">
        <v>100046</v>
      </c>
      <c r="B58" s="6">
        <v>7731</v>
      </c>
      <c r="C58" s="6">
        <v>6317</v>
      </c>
      <c r="D58" s="6" t="s">
        <v>104</v>
      </c>
      <c r="E58" s="6" t="s">
        <v>107</v>
      </c>
      <c r="F58" s="6" t="s">
        <v>81</v>
      </c>
      <c r="G58" s="6" t="s">
        <v>140</v>
      </c>
      <c r="H58" s="7" t="s">
        <v>36</v>
      </c>
      <c r="I58" s="8">
        <v>44406</v>
      </c>
      <c r="J58" s="46" t="str">
        <f>TEXT(Tabla1[[#This Row],[FECHA EVENTO]],"dddd")</f>
        <v>jueves</v>
      </c>
      <c r="K58" s="9" t="str">
        <f>TEXT(Tabla1[[#This Row],[FECHA EVENTO]], "[$-es-ES]mmmm")</f>
        <v>julio</v>
      </c>
      <c r="L58" s="9">
        <f>YEAR(Tabla1[[#This Row],[FECHA EVENTO]])</f>
        <v>2021</v>
      </c>
      <c r="M58" s="47">
        <v>7.5520833333333329E-2</v>
      </c>
      <c r="N58" s="12">
        <f>HOUR(Tabla1[[#This Row],[HORA]])</f>
        <v>1</v>
      </c>
      <c r="O58" s="12">
        <v>48</v>
      </c>
      <c r="P58" s="12">
        <v>45</v>
      </c>
      <c r="Q58" s="10">
        <v>7.5624999999999998E-2</v>
      </c>
      <c r="R58" s="10">
        <v>8.4722222222222213E-2</v>
      </c>
      <c r="S58" s="10">
        <v>1.0416666666666907E-4</v>
      </c>
      <c r="T58" s="59">
        <v>9.0972222222222149E-3</v>
      </c>
      <c r="U58" s="12" t="s">
        <v>41</v>
      </c>
      <c r="V58" s="7" t="s">
        <v>38</v>
      </c>
      <c r="W58" s="7" t="s">
        <v>54</v>
      </c>
      <c r="X58" s="7" t="s">
        <v>75</v>
      </c>
      <c r="Y58" s="37">
        <v>72210000</v>
      </c>
      <c r="Z58" s="40">
        <v>0</v>
      </c>
      <c r="AA58" s="12" t="s">
        <v>41</v>
      </c>
      <c r="AB58" s="12" t="s">
        <v>42</v>
      </c>
      <c r="AC58" s="12" t="s">
        <v>69</v>
      </c>
      <c r="AD58" s="36" t="s">
        <v>43</v>
      </c>
      <c r="AE58" s="7" t="s">
        <v>138</v>
      </c>
    </row>
    <row r="59" spans="1:31">
      <c r="A59" s="5">
        <v>100047</v>
      </c>
      <c r="B59" s="6">
        <v>1052</v>
      </c>
      <c r="C59" s="6">
        <v>7084</v>
      </c>
      <c r="D59" s="6" t="s">
        <v>32</v>
      </c>
      <c r="E59" s="6" t="s">
        <v>141</v>
      </c>
      <c r="F59" s="6" t="s">
        <v>81</v>
      </c>
      <c r="G59" s="6" t="s">
        <v>142</v>
      </c>
      <c r="H59" s="7" t="s">
        <v>47</v>
      </c>
      <c r="I59" s="8">
        <v>44423</v>
      </c>
      <c r="J59" s="46" t="str">
        <f>TEXT(Tabla1[[#This Row],[FECHA EVENTO]],"dddd")</f>
        <v>domingo</v>
      </c>
      <c r="K59" s="9" t="str">
        <f>TEXT(Tabla1[[#This Row],[FECHA EVENTO]], "[$-es-ES]mmmm")</f>
        <v>agosto</v>
      </c>
      <c r="L59" s="9">
        <f>YEAR(Tabla1[[#This Row],[FECHA EVENTO]])</f>
        <v>2021</v>
      </c>
      <c r="M59" s="47" t="s">
        <v>69</v>
      </c>
      <c r="N59" s="12" t="e">
        <f>HOUR(Tabla1[[#This Row],[HORA]])</f>
        <v>#VALUE!</v>
      </c>
      <c r="O59" s="12">
        <v>0</v>
      </c>
      <c r="P59" s="12">
        <v>0</v>
      </c>
      <c r="Q59" s="35" t="s">
        <v>69</v>
      </c>
      <c r="R59" s="35" t="s">
        <v>69</v>
      </c>
      <c r="S59" s="35" t="s">
        <v>69</v>
      </c>
      <c r="T59" s="60" t="s">
        <v>69</v>
      </c>
      <c r="U59" s="12" t="s">
        <v>55</v>
      </c>
      <c r="V59" s="7" t="s">
        <v>61</v>
      </c>
      <c r="W59" s="7" t="s">
        <v>62</v>
      </c>
      <c r="X59" s="7" t="s">
        <v>63</v>
      </c>
      <c r="Y59" s="37">
        <v>0</v>
      </c>
      <c r="Z59" s="40">
        <v>65499000</v>
      </c>
      <c r="AA59" s="12" t="s">
        <v>41</v>
      </c>
      <c r="AB59" s="12" t="s">
        <v>42</v>
      </c>
      <c r="AC59" s="12" t="s">
        <v>42</v>
      </c>
      <c r="AD59" s="36" t="s">
        <v>43</v>
      </c>
      <c r="AE59" s="13" t="s">
        <v>143</v>
      </c>
    </row>
    <row r="60" spans="1:31">
      <c r="A60" s="5">
        <v>100048</v>
      </c>
      <c r="B60" s="6">
        <v>9291</v>
      </c>
      <c r="C60" s="6">
        <v>2278</v>
      </c>
      <c r="D60" s="6" t="s">
        <v>104</v>
      </c>
      <c r="E60" s="6" t="s">
        <v>107</v>
      </c>
      <c r="F60" s="6" t="s">
        <v>34</v>
      </c>
      <c r="G60" s="6" t="s">
        <v>144</v>
      </c>
      <c r="H60" s="7" t="s">
        <v>130</v>
      </c>
      <c r="I60" s="8">
        <v>44480</v>
      </c>
      <c r="J60" s="46" t="str">
        <f>TEXT(Tabla1[[#This Row],[FECHA EVENTO]],"dddd")</f>
        <v>lunes</v>
      </c>
      <c r="K60" s="9" t="str">
        <f>TEXT(Tabla1[[#This Row],[FECHA EVENTO]], "[$-es-ES]mmmm")</f>
        <v>octubre</v>
      </c>
      <c r="L60" s="9">
        <f>YEAR(Tabla1[[#This Row],[FECHA EVENTO]])</f>
        <v>2021</v>
      </c>
      <c r="M60" s="47">
        <v>0.12487268518518518</v>
      </c>
      <c r="N60" s="12">
        <f>HOUR(Tabla1[[#This Row],[HORA]])</f>
        <v>2</v>
      </c>
      <c r="O60" s="12">
        <v>59</v>
      </c>
      <c r="P60" s="12">
        <v>49</v>
      </c>
      <c r="Q60" s="10">
        <v>0.12509259259259259</v>
      </c>
      <c r="R60" s="10">
        <v>0.13125000000000001</v>
      </c>
      <c r="S60" s="10">
        <v>2.1990740740740478E-4</v>
      </c>
      <c r="T60" s="59">
        <v>6.157407407407417E-3</v>
      </c>
      <c r="U60" s="12" t="s">
        <v>41</v>
      </c>
      <c r="V60" s="7" t="s">
        <v>48</v>
      </c>
      <c r="W60" s="7" t="s">
        <v>32</v>
      </c>
      <c r="X60" s="7" t="s">
        <v>49</v>
      </c>
      <c r="Y60" s="37">
        <v>122300000</v>
      </c>
      <c r="Z60" s="40">
        <v>0</v>
      </c>
      <c r="AA60" s="12" t="s">
        <v>41</v>
      </c>
      <c r="AB60" s="12" t="s">
        <v>42</v>
      </c>
      <c r="AC60" s="12" t="s">
        <v>69</v>
      </c>
      <c r="AD60" s="36" t="s">
        <v>43</v>
      </c>
      <c r="AE60" s="13"/>
    </row>
    <row r="61" spans="1:31">
      <c r="A61" s="5">
        <v>100049</v>
      </c>
      <c r="B61" s="6">
        <v>8467</v>
      </c>
      <c r="C61" s="6">
        <v>5579</v>
      </c>
      <c r="D61" s="6" t="s">
        <v>104</v>
      </c>
      <c r="E61" s="6" t="s">
        <v>145</v>
      </c>
      <c r="F61" s="6" t="s">
        <v>34</v>
      </c>
      <c r="G61" s="6" t="s">
        <v>146</v>
      </c>
      <c r="H61" s="7" t="s">
        <v>36</v>
      </c>
      <c r="I61" s="8">
        <v>44500</v>
      </c>
      <c r="J61" s="46" t="str">
        <f>TEXT(Tabla1[[#This Row],[FECHA EVENTO]],"dddd")</f>
        <v>domingo</v>
      </c>
      <c r="K61" s="9" t="str">
        <f>TEXT(Tabla1[[#This Row],[FECHA EVENTO]], "[$-es-ES]mmmm")</f>
        <v>octubre</v>
      </c>
      <c r="L61" s="9">
        <f>YEAR(Tabla1[[#This Row],[FECHA EVENTO]])</f>
        <v>2021</v>
      </c>
      <c r="M61" s="47">
        <v>0.14457175925925927</v>
      </c>
      <c r="N61" s="12">
        <f>HOUR(Tabla1[[#This Row],[HORA]])</f>
        <v>3</v>
      </c>
      <c r="O61" s="12">
        <v>28</v>
      </c>
      <c r="P61" s="12">
        <v>11</v>
      </c>
      <c r="Q61" s="10">
        <v>0.14481481481481481</v>
      </c>
      <c r="R61" s="10">
        <v>0.15390046296296298</v>
      </c>
      <c r="S61" s="10">
        <v>2.4305555555553804E-4</v>
      </c>
      <c r="T61" s="59">
        <v>9.0856481481481621E-3</v>
      </c>
      <c r="U61" s="12" t="s">
        <v>41</v>
      </c>
      <c r="V61" s="7" t="s">
        <v>38</v>
      </c>
      <c r="W61" s="7" t="s">
        <v>54</v>
      </c>
      <c r="X61" s="7" t="s">
        <v>75</v>
      </c>
      <c r="Y61" s="37">
        <v>255100000</v>
      </c>
      <c r="Z61" s="40">
        <v>0</v>
      </c>
      <c r="AA61" s="12" t="s">
        <v>41</v>
      </c>
      <c r="AB61" s="12" t="s">
        <v>42</v>
      </c>
      <c r="AC61" s="12" t="s">
        <v>69</v>
      </c>
      <c r="AD61" s="36" t="s">
        <v>43</v>
      </c>
      <c r="AE61" s="13"/>
    </row>
    <row r="62" spans="1:31">
      <c r="A62" s="5">
        <v>100050</v>
      </c>
      <c r="B62" s="6">
        <v>9738</v>
      </c>
      <c r="C62" s="6">
        <v>7744</v>
      </c>
      <c r="D62" s="6" t="s">
        <v>104</v>
      </c>
      <c r="E62" s="6" t="s">
        <v>147</v>
      </c>
      <c r="F62" s="6" t="s">
        <v>57</v>
      </c>
      <c r="G62" s="6" t="s">
        <v>148</v>
      </c>
      <c r="H62" s="7" t="s">
        <v>47</v>
      </c>
      <c r="I62" s="8">
        <v>44504</v>
      </c>
      <c r="J62" s="46" t="str">
        <f>TEXT(Tabla1[[#This Row],[FECHA EVENTO]],"dddd")</f>
        <v>jueves</v>
      </c>
      <c r="K62" s="9" t="str">
        <f>TEXT(Tabla1[[#This Row],[FECHA EVENTO]], "[$-es-ES]mmmm")</f>
        <v>noviembre</v>
      </c>
      <c r="L62" s="9">
        <f>YEAR(Tabla1[[#This Row],[FECHA EVENTO]])</f>
        <v>2021</v>
      </c>
      <c r="M62" s="47">
        <v>0.15570601851851854</v>
      </c>
      <c r="N62" s="12">
        <f>HOUR(Tabla1[[#This Row],[HORA]])</f>
        <v>3</v>
      </c>
      <c r="O62" s="12">
        <v>44</v>
      </c>
      <c r="P62" s="12">
        <v>13</v>
      </c>
      <c r="Q62" s="10">
        <v>0.1557638888888889</v>
      </c>
      <c r="R62" s="10">
        <v>0.17210648148148147</v>
      </c>
      <c r="S62" s="10">
        <v>5.7870370370360913E-5</v>
      </c>
      <c r="T62" s="59">
        <v>1.6342592592592575E-2</v>
      </c>
      <c r="U62" s="12" t="s">
        <v>41</v>
      </c>
      <c r="V62" s="7" t="s">
        <v>48</v>
      </c>
      <c r="W62" s="7" t="s">
        <v>32</v>
      </c>
      <c r="X62" s="7" t="s">
        <v>49</v>
      </c>
      <c r="Y62" s="37">
        <v>200150000</v>
      </c>
      <c r="Z62" s="40">
        <v>0</v>
      </c>
      <c r="AA62" s="12" t="s">
        <v>41</v>
      </c>
      <c r="AB62" s="12" t="s">
        <v>42</v>
      </c>
      <c r="AC62" s="12" t="s">
        <v>69</v>
      </c>
      <c r="AD62" s="36" t="s">
        <v>43</v>
      </c>
      <c r="AE62" s="13"/>
    </row>
    <row r="63" spans="1:31">
      <c r="A63" s="5">
        <v>100051</v>
      </c>
      <c r="B63" s="6">
        <v>7724</v>
      </c>
      <c r="C63" s="6">
        <v>6344</v>
      </c>
      <c r="D63" s="6" t="s">
        <v>104</v>
      </c>
      <c r="E63" s="6" t="s">
        <v>101</v>
      </c>
      <c r="F63" s="6" t="s">
        <v>81</v>
      </c>
      <c r="G63" s="6" t="s">
        <v>149</v>
      </c>
      <c r="H63" s="7" t="s">
        <v>36</v>
      </c>
      <c r="I63" s="8">
        <v>44517</v>
      </c>
      <c r="J63" s="46" t="str">
        <f>TEXT(Tabla1[[#This Row],[FECHA EVENTO]],"dddd")</f>
        <v>miércoles</v>
      </c>
      <c r="K63" s="9" t="str">
        <f>TEXT(Tabla1[[#This Row],[FECHA EVENTO]], "[$-es-ES]mmmm")</f>
        <v>noviembre</v>
      </c>
      <c r="L63" s="9">
        <f>YEAR(Tabla1[[#This Row],[FECHA EVENTO]])</f>
        <v>2021</v>
      </c>
      <c r="M63" s="47">
        <v>0.10488425925925926</v>
      </c>
      <c r="N63" s="12">
        <f>HOUR(Tabla1[[#This Row],[HORA]])</f>
        <v>2</v>
      </c>
      <c r="O63" s="12">
        <v>31</v>
      </c>
      <c r="P63" s="12">
        <v>2</v>
      </c>
      <c r="Q63" s="10">
        <v>0.10516203703703704</v>
      </c>
      <c r="R63" s="10">
        <v>0.1074537037037037</v>
      </c>
      <c r="S63" s="10">
        <v>2.7777777777777957E-4</v>
      </c>
      <c r="T63" s="59">
        <v>2.2916666666666641E-3</v>
      </c>
      <c r="U63" s="12" t="s">
        <v>41</v>
      </c>
      <c r="V63" s="7" t="s">
        <v>38</v>
      </c>
      <c r="W63" s="7" t="s">
        <v>54</v>
      </c>
      <c r="X63" s="7" t="s">
        <v>49</v>
      </c>
      <c r="Y63" s="37">
        <v>179500000</v>
      </c>
      <c r="Z63" s="40">
        <v>0</v>
      </c>
      <c r="AA63" s="12" t="s">
        <v>41</v>
      </c>
      <c r="AB63" s="12" t="s">
        <v>42</v>
      </c>
      <c r="AC63" s="12" t="s">
        <v>69</v>
      </c>
      <c r="AD63" s="36" t="s">
        <v>43</v>
      </c>
      <c r="AE63" s="13"/>
    </row>
    <row r="64" spans="1:31">
      <c r="A64" s="5">
        <v>100052</v>
      </c>
      <c r="B64" s="6">
        <v>8866</v>
      </c>
      <c r="C64" s="6">
        <v>6576</v>
      </c>
      <c r="D64" s="6" t="s">
        <v>104</v>
      </c>
      <c r="E64" s="6" t="s">
        <v>98</v>
      </c>
      <c r="F64" s="6" t="s">
        <v>81</v>
      </c>
      <c r="G64" s="6" t="s">
        <v>150</v>
      </c>
      <c r="H64" s="7" t="s">
        <v>53</v>
      </c>
      <c r="I64" s="8">
        <v>44521</v>
      </c>
      <c r="J64" s="46" t="str">
        <f>TEXT(Tabla1[[#This Row],[FECHA EVENTO]],"dddd")</f>
        <v>domingo</v>
      </c>
      <c r="K64" s="9" t="str">
        <f>TEXT(Tabla1[[#This Row],[FECHA EVENTO]], "[$-es-ES]mmmm")</f>
        <v>noviembre</v>
      </c>
      <c r="L64" s="9">
        <f>YEAR(Tabla1[[#This Row],[FECHA EVENTO]])</f>
        <v>2021</v>
      </c>
      <c r="M64" s="47">
        <v>0.854375</v>
      </c>
      <c r="N64" s="12">
        <f>HOUR(Tabla1[[#This Row],[HORA]])</f>
        <v>20</v>
      </c>
      <c r="O64" s="12">
        <v>30</v>
      </c>
      <c r="P64" s="12">
        <v>18</v>
      </c>
      <c r="Q64" s="10">
        <v>0.85446759259259253</v>
      </c>
      <c r="R64" s="10">
        <v>0.87641203703703707</v>
      </c>
      <c r="S64" s="10">
        <v>9.2592592592533052E-5</v>
      </c>
      <c r="T64" s="59">
        <v>2.1944444444444544E-2</v>
      </c>
      <c r="U64" s="12" t="s">
        <v>41</v>
      </c>
      <c r="V64" s="7" t="s">
        <v>38</v>
      </c>
      <c r="W64" s="7" t="s">
        <v>32</v>
      </c>
      <c r="X64" s="7" t="s">
        <v>49</v>
      </c>
      <c r="Y64" s="37">
        <v>240830000</v>
      </c>
      <c r="Z64" s="40">
        <v>0</v>
      </c>
      <c r="AA64" s="12" t="s">
        <v>41</v>
      </c>
      <c r="AB64" s="12" t="s">
        <v>42</v>
      </c>
      <c r="AC64" s="12" t="s">
        <v>69</v>
      </c>
      <c r="AD64" s="36" t="s">
        <v>43</v>
      </c>
      <c r="AE64" s="7" t="s">
        <v>138</v>
      </c>
    </row>
    <row r="65" spans="1:31">
      <c r="A65" s="5">
        <v>100053</v>
      </c>
      <c r="B65" s="6">
        <v>8892</v>
      </c>
      <c r="C65" s="6">
        <v>7622</v>
      </c>
      <c r="D65" s="6" t="s">
        <v>32</v>
      </c>
      <c r="E65" s="6" t="s">
        <v>51</v>
      </c>
      <c r="F65" s="6" t="s">
        <v>57</v>
      </c>
      <c r="G65" s="6" t="s">
        <v>58</v>
      </c>
      <c r="H65" s="7" t="s">
        <v>47</v>
      </c>
      <c r="I65" s="8">
        <v>44561</v>
      </c>
      <c r="J65" s="46" t="str">
        <f>TEXT(Tabla1[[#This Row],[FECHA EVENTO]],"dddd")</f>
        <v>viernes</v>
      </c>
      <c r="K65" s="9" t="str">
        <f>TEXT(Tabla1[[#This Row],[FECHA EVENTO]], "[$-es-ES]mmmm")</f>
        <v>diciembre</v>
      </c>
      <c r="L65" s="9">
        <f>YEAR(Tabla1[[#This Row],[FECHA EVENTO]])</f>
        <v>2021</v>
      </c>
      <c r="M65" s="47">
        <v>0.12204861111111111</v>
      </c>
      <c r="N65" s="12">
        <f>HOUR(Tabla1[[#This Row],[HORA]])</f>
        <v>2</v>
      </c>
      <c r="O65" s="12">
        <v>55</v>
      </c>
      <c r="P65" s="12">
        <v>45</v>
      </c>
      <c r="Q65" s="10">
        <v>0.12209490740740742</v>
      </c>
      <c r="R65" s="10">
        <v>0.13542824074074075</v>
      </c>
      <c r="S65" s="10">
        <v>4.6296296296308159E-5</v>
      </c>
      <c r="T65" s="59">
        <v>1.3333333333333336E-2</v>
      </c>
      <c r="U65" s="12" t="s">
        <v>41</v>
      </c>
      <c r="V65" s="7" t="s">
        <v>48</v>
      </c>
      <c r="W65" s="7" t="s">
        <v>32</v>
      </c>
      <c r="X65" s="7" t="s">
        <v>49</v>
      </c>
      <c r="Y65" s="37">
        <v>128410000</v>
      </c>
      <c r="Z65" s="40">
        <v>0</v>
      </c>
      <c r="AA65" s="12" t="s">
        <v>41</v>
      </c>
      <c r="AB65" s="12" t="s">
        <v>42</v>
      </c>
      <c r="AC65" s="12" t="s">
        <v>69</v>
      </c>
      <c r="AD65" s="36" t="s">
        <v>43</v>
      </c>
      <c r="AE65" s="13"/>
    </row>
    <row r="66" spans="1:31">
      <c r="A66" s="5">
        <v>100054</v>
      </c>
      <c r="B66" s="6">
        <v>7904</v>
      </c>
      <c r="C66" s="6">
        <v>7505</v>
      </c>
      <c r="D66" s="6" t="s">
        <v>32</v>
      </c>
      <c r="E66" s="6" t="s">
        <v>51</v>
      </c>
      <c r="F66" s="6" t="s">
        <v>57</v>
      </c>
      <c r="G66" s="6" t="s">
        <v>77</v>
      </c>
      <c r="H66" s="7" t="s">
        <v>47</v>
      </c>
      <c r="I66" s="8">
        <v>44640</v>
      </c>
      <c r="J66" s="46" t="str">
        <f>TEXT(Tabla1[[#This Row],[FECHA EVENTO]],"dddd")</f>
        <v>domingo</v>
      </c>
      <c r="K66" s="9" t="str">
        <f>TEXT(Tabla1[[#This Row],[FECHA EVENTO]], "[$-es-ES]mmmm")</f>
        <v>marzo</v>
      </c>
      <c r="L66" s="9">
        <f>YEAR(Tabla1[[#This Row],[FECHA EVENTO]])</f>
        <v>2022</v>
      </c>
      <c r="M66" s="47">
        <v>0.3052199074074074</v>
      </c>
      <c r="N66" s="12">
        <f>HOUR(Tabla1[[#This Row],[HORA]])</f>
        <v>7</v>
      </c>
      <c r="O66" s="12">
        <v>19</v>
      </c>
      <c r="P66" s="12">
        <v>31</v>
      </c>
      <c r="Q66" s="10">
        <v>0.30583333333333335</v>
      </c>
      <c r="R66" s="10">
        <v>0.32430555555555557</v>
      </c>
      <c r="S66" s="10">
        <f t="shared" ref="S66:S86" si="0">Q66-M66</f>
        <v>6.134259259259478E-4</v>
      </c>
      <c r="T66" s="59">
        <f t="shared" ref="T66:T86" si="1">R66-Q66</f>
        <v>1.8472222222222223E-2</v>
      </c>
      <c r="U66" s="12" t="s">
        <v>37</v>
      </c>
      <c r="V66" s="7" t="s">
        <v>38</v>
      </c>
      <c r="W66" s="7" t="s">
        <v>54</v>
      </c>
      <c r="X66" s="7" t="s">
        <v>78</v>
      </c>
      <c r="Y66" s="37">
        <v>0</v>
      </c>
      <c r="Z66" s="40">
        <v>145900000</v>
      </c>
      <c r="AA66" s="12" t="s">
        <v>41</v>
      </c>
      <c r="AB66" s="12" t="s">
        <v>42</v>
      </c>
      <c r="AC66" s="12" t="s">
        <v>42</v>
      </c>
      <c r="AD66" s="36" t="s">
        <v>43</v>
      </c>
      <c r="AE66" s="13"/>
    </row>
    <row r="67" spans="1:31">
      <c r="A67" s="5">
        <v>100055</v>
      </c>
      <c r="B67" s="6">
        <v>8459</v>
      </c>
      <c r="C67" s="6">
        <v>4051</v>
      </c>
      <c r="D67" s="6" t="s">
        <v>32</v>
      </c>
      <c r="E67" s="6" t="s">
        <v>51</v>
      </c>
      <c r="F67" s="6" t="s">
        <v>34</v>
      </c>
      <c r="G67" s="6" t="s">
        <v>151</v>
      </c>
      <c r="H67" s="7" t="s">
        <v>47</v>
      </c>
      <c r="I67" s="8">
        <v>44673</v>
      </c>
      <c r="J67" s="46" t="str">
        <f>TEXT(Tabla1[[#This Row],[FECHA EVENTO]],"dddd")</f>
        <v>viernes</v>
      </c>
      <c r="K67" s="9" t="str">
        <f>TEXT(Tabla1[[#This Row],[FECHA EVENTO]], "[$-es-ES]mmmm")</f>
        <v>abril</v>
      </c>
      <c r="L67" s="9">
        <f>YEAR(Tabla1[[#This Row],[FECHA EVENTO]])</f>
        <v>2022</v>
      </c>
      <c r="M67" s="47">
        <v>0.32017361111111109</v>
      </c>
      <c r="N67" s="12">
        <f>HOUR(Tabla1[[#This Row],[HORA]])</f>
        <v>7</v>
      </c>
      <c r="O67" s="12">
        <v>41</v>
      </c>
      <c r="P67" s="12">
        <v>3</v>
      </c>
      <c r="Q67" s="10">
        <v>0.32033564814814813</v>
      </c>
      <c r="R67" s="10">
        <v>0.33333333333333331</v>
      </c>
      <c r="S67" s="10">
        <f t="shared" si="0"/>
        <v>1.6203703703704386E-4</v>
      </c>
      <c r="T67" s="59">
        <f t="shared" si="1"/>
        <v>1.2997685185185182E-2</v>
      </c>
      <c r="U67" s="12" t="s">
        <v>152</v>
      </c>
      <c r="V67" s="7" t="s">
        <v>38</v>
      </c>
      <c r="W67" s="7" t="s">
        <v>54</v>
      </c>
      <c r="X67" s="7" t="s">
        <v>78</v>
      </c>
      <c r="Y67" s="37">
        <v>237230000</v>
      </c>
      <c r="Z67" s="41">
        <v>0</v>
      </c>
      <c r="AA67" s="12" t="s">
        <v>41</v>
      </c>
      <c r="AB67" s="12" t="s">
        <v>42</v>
      </c>
      <c r="AC67" s="12" t="s">
        <v>37</v>
      </c>
      <c r="AD67" s="36" t="s">
        <v>43</v>
      </c>
      <c r="AE67" s="13"/>
    </row>
    <row r="68" spans="1:31">
      <c r="A68" s="5">
        <v>100056</v>
      </c>
      <c r="B68" s="6">
        <v>8284</v>
      </c>
      <c r="C68" s="6">
        <v>4300</v>
      </c>
      <c r="D68" s="6" t="s">
        <v>32</v>
      </c>
      <c r="E68" s="6" t="s">
        <v>153</v>
      </c>
      <c r="F68" s="6" t="s">
        <v>154</v>
      </c>
      <c r="G68" s="6" t="s">
        <v>155</v>
      </c>
      <c r="H68" s="7" t="s">
        <v>36</v>
      </c>
      <c r="I68" s="8">
        <v>44685</v>
      </c>
      <c r="J68" s="46" t="str">
        <f>TEXT(Tabla1[[#This Row],[FECHA EVENTO]],"dddd")</f>
        <v>miércoles</v>
      </c>
      <c r="K68" s="9" t="str">
        <f>TEXT(Tabla1[[#This Row],[FECHA EVENTO]], "[$-es-ES]mmmm")</f>
        <v>mayo</v>
      </c>
      <c r="L68" s="9">
        <f>YEAR(Tabla1[[#This Row],[FECHA EVENTO]])</f>
        <v>2022</v>
      </c>
      <c r="M68" s="47">
        <v>8.0162037037037046E-2</v>
      </c>
      <c r="N68" s="12">
        <f>HOUR(Tabla1[[#This Row],[HORA]])</f>
        <v>1</v>
      </c>
      <c r="O68" s="12">
        <v>55</v>
      </c>
      <c r="P68" s="12">
        <v>26</v>
      </c>
      <c r="Q68" s="10">
        <v>8.0497685185185186E-2</v>
      </c>
      <c r="R68" s="10">
        <v>8.3125000000000004E-2</v>
      </c>
      <c r="S68" s="10">
        <f t="shared" si="0"/>
        <v>3.3564814814814048E-4</v>
      </c>
      <c r="T68" s="59">
        <f t="shared" si="1"/>
        <v>2.6273148148148184E-3</v>
      </c>
      <c r="U68" s="12" t="s">
        <v>152</v>
      </c>
      <c r="V68" s="7" t="s">
        <v>38</v>
      </c>
      <c r="W68" s="7" t="s">
        <v>54</v>
      </c>
      <c r="X68" s="7" t="s">
        <v>49</v>
      </c>
      <c r="Y68" s="37">
        <v>306930000</v>
      </c>
      <c r="Z68" s="41">
        <v>0</v>
      </c>
      <c r="AA68" s="12" t="s">
        <v>55</v>
      </c>
      <c r="AB68" s="12" t="s">
        <v>42</v>
      </c>
      <c r="AC68" s="12" t="s">
        <v>37</v>
      </c>
      <c r="AD68" s="36" t="s">
        <v>43</v>
      </c>
      <c r="AE68" s="13"/>
    </row>
    <row r="69" spans="1:31">
      <c r="A69" s="5">
        <v>100057</v>
      </c>
      <c r="B69" s="6">
        <v>1692</v>
      </c>
      <c r="C69" s="14">
        <v>692</v>
      </c>
      <c r="D69" s="6" t="s">
        <v>39</v>
      </c>
      <c r="E69" s="6" t="s">
        <v>39</v>
      </c>
      <c r="F69" s="6" t="s">
        <v>39</v>
      </c>
      <c r="G69" s="6" t="s">
        <v>156</v>
      </c>
      <c r="H69" s="7" t="s">
        <v>53</v>
      </c>
      <c r="I69" s="8">
        <v>44692</v>
      </c>
      <c r="J69" s="46" t="str">
        <f>TEXT(Tabla1[[#This Row],[FECHA EVENTO]],"dddd")</f>
        <v>miércoles</v>
      </c>
      <c r="K69" s="9" t="str">
        <f>TEXT(Tabla1[[#This Row],[FECHA EVENTO]], "[$-es-ES]mmmm")</f>
        <v>mayo</v>
      </c>
      <c r="L69" s="9">
        <f>YEAR(Tabla1[[#This Row],[FECHA EVENTO]])</f>
        <v>2022</v>
      </c>
      <c r="M69" s="47">
        <v>0.42298611111111112</v>
      </c>
      <c r="N69" s="12">
        <f>HOUR(Tabla1[[#This Row],[HORA]])</f>
        <v>10</v>
      </c>
      <c r="O69" s="12">
        <v>9</v>
      </c>
      <c r="P69" s="12">
        <v>6</v>
      </c>
      <c r="Q69" s="10">
        <v>0.42304398148148148</v>
      </c>
      <c r="R69" s="10">
        <v>0.42670138888888887</v>
      </c>
      <c r="S69" s="10">
        <f t="shared" si="0"/>
        <v>5.7870370370360913E-5</v>
      </c>
      <c r="T69" s="59">
        <f t="shared" si="1"/>
        <v>3.657407407407387E-3</v>
      </c>
      <c r="U69" s="12" t="s">
        <v>37</v>
      </c>
      <c r="V69" s="7" t="s">
        <v>71</v>
      </c>
      <c r="W69" s="7" t="s">
        <v>39</v>
      </c>
      <c r="X69" s="7" t="s">
        <v>71</v>
      </c>
      <c r="Y69" s="37">
        <v>0</v>
      </c>
      <c r="Z69" s="41">
        <v>0</v>
      </c>
      <c r="AA69" s="12" t="s">
        <v>41</v>
      </c>
      <c r="AB69" s="12" t="s">
        <v>42</v>
      </c>
      <c r="AC69" s="12" t="s">
        <v>37</v>
      </c>
      <c r="AD69" s="36" t="s">
        <v>43</v>
      </c>
      <c r="AE69" s="13"/>
    </row>
    <row r="70" spans="1:31">
      <c r="A70" s="5">
        <v>100058</v>
      </c>
      <c r="B70" s="6">
        <v>1083</v>
      </c>
      <c r="C70" s="14">
        <v>83</v>
      </c>
      <c r="D70" s="6" t="s">
        <v>39</v>
      </c>
      <c r="E70" s="6" t="s">
        <v>39</v>
      </c>
      <c r="F70" s="6" t="s">
        <v>39</v>
      </c>
      <c r="G70" s="6" t="s">
        <v>157</v>
      </c>
      <c r="H70" s="7" t="s">
        <v>53</v>
      </c>
      <c r="I70" s="8">
        <v>44704</v>
      </c>
      <c r="J70" s="46" t="str">
        <f>TEXT(Tabla1[[#This Row],[FECHA EVENTO]],"dddd")</f>
        <v>lunes</v>
      </c>
      <c r="K70" s="9" t="str">
        <f>TEXT(Tabla1[[#This Row],[FECHA EVENTO]], "[$-es-ES]mmmm")</f>
        <v>mayo</v>
      </c>
      <c r="L70" s="9">
        <f>YEAR(Tabla1[[#This Row],[FECHA EVENTO]])</f>
        <v>2022</v>
      </c>
      <c r="M70" s="47">
        <v>0.62859953703703708</v>
      </c>
      <c r="N70" s="12">
        <f>HOUR(Tabla1[[#This Row],[HORA]])</f>
        <v>15</v>
      </c>
      <c r="O70" s="12">
        <v>5</v>
      </c>
      <c r="P70" s="12">
        <v>11</v>
      </c>
      <c r="Q70" s="10">
        <v>0.62878472222222226</v>
      </c>
      <c r="R70" s="10">
        <v>0.63011574074074073</v>
      </c>
      <c r="S70" s="10">
        <f t="shared" si="0"/>
        <v>1.8518518518517713E-4</v>
      </c>
      <c r="T70" s="59">
        <f t="shared" si="1"/>
        <v>1.3310185185184675E-3</v>
      </c>
      <c r="U70" s="12" t="s">
        <v>37</v>
      </c>
      <c r="V70" s="7" t="s">
        <v>71</v>
      </c>
      <c r="W70" s="7" t="s">
        <v>39</v>
      </c>
      <c r="X70" s="7" t="s">
        <v>71</v>
      </c>
      <c r="Y70" s="37">
        <v>0</v>
      </c>
      <c r="Z70" s="41">
        <v>0</v>
      </c>
      <c r="AA70" s="12" t="s">
        <v>41</v>
      </c>
      <c r="AB70" s="12" t="s">
        <v>42</v>
      </c>
      <c r="AC70" s="12" t="s">
        <v>37</v>
      </c>
      <c r="AD70" s="36" t="s">
        <v>43</v>
      </c>
      <c r="AE70" s="13"/>
    </row>
    <row r="71" spans="1:31">
      <c r="A71" s="5">
        <v>100059</v>
      </c>
      <c r="B71" s="6">
        <v>1113</v>
      </c>
      <c r="C71" s="14">
        <v>113</v>
      </c>
      <c r="D71" s="6" t="s">
        <v>39</v>
      </c>
      <c r="E71" s="6" t="s">
        <v>39</v>
      </c>
      <c r="F71" s="6" t="s">
        <v>39</v>
      </c>
      <c r="G71" s="6" t="s">
        <v>158</v>
      </c>
      <c r="H71" s="7" t="s">
        <v>47</v>
      </c>
      <c r="I71" s="8">
        <v>44712</v>
      </c>
      <c r="J71" s="46" t="str">
        <f>TEXT(Tabla1[[#This Row],[FECHA EVENTO]],"dddd")</f>
        <v>martes</v>
      </c>
      <c r="K71" s="9" t="str">
        <f>TEXT(Tabla1[[#This Row],[FECHA EVENTO]], "[$-es-ES]mmmm")</f>
        <v>mayo</v>
      </c>
      <c r="L71" s="9">
        <f>YEAR(Tabla1[[#This Row],[FECHA EVENTO]])</f>
        <v>2022</v>
      </c>
      <c r="M71" s="47">
        <v>0.48137731481481483</v>
      </c>
      <c r="N71" s="12">
        <f>HOUR(Tabla1[[#This Row],[HORA]])</f>
        <v>11</v>
      </c>
      <c r="O71" s="12">
        <v>33</v>
      </c>
      <c r="P71" s="12">
        <v>11</v>
      </c>
      <c r="Q71" s="10">
        <v>0.4821064814814815</v>
      </c>
      <c r="R71" s="10">
        <v>0.48734953703703704</v>
      </c>
      <c r="S71" s="10">
        <f t="shared" si="0"/>
        <v>7.2916666666666963E-4</v>
      </c>
      <c r="T71" s="59">
        <f t="shared" si="1"/>
        <v>5.2430555555555425E-3</v>
      </c>
      <c r="U71" s="12" t="s">
        <v>37</v>
      </c>
      <c r="V71" s="7" t="s">
        <v>71</v>
      </c>
      <c r="W71" s="7" t="s">
        <v>39</v>
      </c>
      <c r="X71" s="7" t="s">
        <v>71</v>
      </c>
      <c r="Y71" s="37">
        <v>0</v>
      </c>
      <c r="Z71" s="41">
        <v>0</v>
      </c>
      <c r="AA71" s="12" t="s">
        <v>41</v>
      </c>
      <c r="AB71" s="12" t="s">
        <v>42</v>
      </c>
      <c r="AC71" s="12" t="s">
        <v>37</v>
      </c>
      <c r="AD71" s="36" t="s">
        <v>43</v>
      </c>
      <c r="AE71" s="13"/>
    </row>
    <row r="72" spans="1:31">
      <c r="A72" s="5">
        <v>100060</v>
      </c>
      <c r="B72" s="6">
        <v>1533</v>
      </c>
      <c r="C72" s="6">
        <v>8998</v>
      </c>
      <c r="D72" s="6" t="s">
        <v>32</v>
      </c>
      <c r="E72" s="6" t="s">
        <v>51</v>
      </c>
      <c r="F72" s="6" t="s">
        <v>34</v>
      </c>
      <c r="G72" s="6" t="s">
        <v>159</v>
      </c>
      <c r="H72" s="7" t="s">
        <v>53</v>
      </c>
      <c r="I72" s="8">
        <v>44722</v>
      </c>
      <c r="J72" s="46" t="str">
        <f>TEXT(Tabla1[[#This Row],[FECHA EVENTO]],"dddd")</f>
        <v>viernes</v>
      </c>
      <c r="K72" s="9" t="str">
        <f>TEXT(Tabla1[[#This Row],[FECHA EVENTO]], "[$-es-ES]mmmm")</f>
        <v>junio</v>
      </c>
      <c r="L72" s="9">
        <f>YEAR(Tabla1[[#This Row],[FECHA EVENTO]])</f>
        <v>2022</v>
      </c>
      <c r="M72" s="47">
        <v>9.1030092592592593E-2</v>
      </c>
      <c r="N72" s="12">
        <f>HOUR(Tabla1[[#This Row],[HORA]])</f>
        <v>2</v>
      </c>
      <c r="O72" s="12">
        <v>11</v>
      </c>
      <c r="P72" s="12">
        <v>5</v>
      </c>
      <c r="Q72" s="10">
        <v>9.1273148148148145E-2</v>
      </c>
      <c r="R72" s="10">
        <v>9.9050925925925917E-2</v>
      </c>
      <c r="S72" s="10">
        <f t="shared" si="0"/>
        <v>2.4305555555555192E-4</v>
      </c>
      <c r="T72" s="59">
        <f t="shared" si="1"/>
        <v>7.7777777777777724E-3</v>
      </c>
      <c r="U72" s="12" t="s">
        <v>152</v>
      </c>
      <c r="V72" s="7" t="s">
        <v>38</v>
      </c>
      <c r="W72" s="7" t="s">
        <v>54</v>
      </c>
      <c r="X72" s="7" t="s">
        <v>49</v>
      </c>
      <c r="Y72" s="37">
        <v>86790000</v>
      </c>
      <c r="Z72" s="41">
        <v>0</v>
      </c>
      <c r="AA72" s="12" t="s">
        <v>41</v>
      </c>
      <c r="AB72" s="12" t="s">
        <v>42</v>
      </c>
      <c r="AC72" s="12" t="s">
        <v>37</v>
      </c>
      <c r="AD72" s="36" t="s">
        <v>43</v>
      </c>
      <c r="AE72" s="13"/>
    </row>
    <row r="73" spans="1:31">
      <c r="A73" s="5">
        <v>100061</v>
      </c>
      <c r="B73" s="6">
        <v>7253</v>
      </c>
      <c r="C73" s="6">
        <v>2475</v>
      </c>
      <c r="D73" s="6" t="s">
        <v>32</v>
      </c>
      <c r="E73" s="6" t="s">
        <v>51</v>
      </c>
      <c r="F73" s="6" t="s">
        <v>57</v>
      </c>
      <c r="G73" s="6" t="s">
        <v>160</v>
      </c>
      <c r="H73" s="7" t="s">
        <v>87</v>
      </c>
      <c r="I73" s="8">
        <v>44729</v>
      </c>
      <c r="J73" s="46" t="str">
        <f>TEXT(Tabla1[[#This Row],[FECHA EVENTO]],"dddd")</f>
        <v>viernes</v>
      </c>
      <c r="K73" s="9" t="str">
        <f>TEXT(Tabla1[[#This Row],[FECHA EVENTO]], "[$-es-ES]mmmm")</f>
        <v>junio</v>
      </c>
      <c r="L73" s="9">
        <f>YEAR(Tabla1[[#This Row],[FECHA EVENTO]])</f>
        <v>2022</v>
      </c>
      <c r="M73" s="47">
        <v>0.1595486111111111</v>
      </c>
      <c r="N73" s="12">
        <f>HOUR(Tabla1[[#This Row],[HORA]])</f>
        <v>3</v>
      </c>
      <c r="O73" s="12">
        <v>49</v>
      </c>
      <c r="P73" s="12">
        <v>45</v>
      </c>
      <c r="Q73" s="10">
        <v>0.15965277777777778</v>
      </c>
      <c r="R73" s="10">
        <v>0.16388888888888889</v>
      </c>
      <c r="S73" s="10">
        <f t="shared" si="0"/>
        <v>1.0416666666668295E-4</v>
      </c>
      <c r="T73" s="59">
        <f t="shared" si="1"/>
        <v>4.2361111111111072E-3</v>
      </c>
      <c r="U73" s="12" t="s">
        <v>152</v>
      </c>
      <c r="V73" s="7" t="s">
        <v>38</v>
      </c>
      <c r="W73" s="7" t="s">
        <v>54</v>
      </c>
      <c r="X73" s="7" t="s">
        <v>49</v>
      </c>
      <c r="Y73" s="37">
        <v>50180000</v>
      </c>
      <c r="Z73" s="41">
        <v>0</v>
      </c>
      <c r="AA73" s="12" t="s">
        <v>41</v>
      </c>
      <c r="AB73" s="12" t="s">
        <v>42</v>
      </c>
      <c r="AC73" s="12" t="s">
        <v>37</v>
      </c>
      <c r="AD73" s="36" t="s">
        <v>43</v>
      </c>
      <c r="AE73" s="13"/>
    </row>
    <row r="74" spans="1:31">
      <c r="A74" s="5">
        <v>100062</v>
      </c>
      <c r="B74" s="6">
        <v>8394</v>
      </c>
      <c r="C74" s="6">
        <v>4102</v>
      </c>
      <c r="D74" s="6" t="s">
        <v>32</v>
      </c>
      <c r="E74" s="6" t="s">
        <v>51</v>
      </c>
      <c r="F74" s="6" t="s">
        <v>34</v>
      </c>
      <c r="G74" s="6" t="s">
        <v>161</v>
      </c>
      <c r="H74" s="7" t="s">
        <v>47</v>
      </c>
      <c r="I74" s="8">
        <v>44729</v>
      </c>
      <c r="J74" s="46" t="str">
        <f>TEXT(Tabla1[[#This Row],[FECHA EVENTO]],"dddd")</f>
        <v>viernes</v>
      </c>
      <c r="K74" s="9" t="str">
        <f>TEXT(Tabla1[[#This Row],[FECHA EVENTO]], "[$-es-ES]mmmm")</f>
        <v>junio</v>
      </c>
      <c r="L74" s="9">
        <f>YEAR(Tabla1[[#This Row],[FECHA EVENTO]])</f>
        <v>2022</v>
      </c>
      <c r="M74" s="47">
        <v>0.15994212962962964</v>
      </c>
      <c r="N74" s="12">
        <f>HOUR(Tabla1[[#This Row],[HORA]])</f>
        <v>3</v>
      </c>
      <c r="O74" s="12">
        <v>50</v>
      </c>
      <c r="P74" s="12">
        <v>19</v>
      </c>
      <c r="Q74" s="10">
        <v>0.16081018518518519</v>
      </c>
      <c r="R74" s="10">
        <v>0.18124999999999999</v>
      </c>
      <c r="S74" s="10">
        <f t="shared" si="0"/>
        <v>8.6805555555555247E-4</v>
      </c>
      <c r="T74" s="59">
        <f t="shared" si="1"/>
        <v>2.04398148148148E-2</v>
      </c>
      <c r="U74" s="12" t="s">
        <v>152</v>
      </c>
      <c r="V74" s="7" t="s">
        <v>38</v>
      </c>
      <c r="W74" s="7" t="s">
        <v>54</v>
      </c>
      <c r="X74" s="7" t="s">
        <v>49</v>
      </c>
      <c r="Y74" s="37">
        <v>64550000</v>
      </c>
      <c r="Z74" s="41">
        <v>0</v>
      </c>
      <c r="AA74" s="12" t="s">
        <v>41</v>
      </c>
      <c r="AB74" s="12" t="s">
        <v>42</v>
      </c>
      <c r="AC74" s="12" t="s">
        <v>37</v>
      </c>
      <c r="AD74" s="36" t="s">
        <v>43</v>
      </c>
      <c r="AE74" s="13"/>
    </row>
    <row r="75" spans="1:31">
      <c r="A75" s="5">
        <v>100063</v>
      </c>
      <c r="B75" s="6">
        <v>8687</v>
      </c>
      <c r="C75" s="6">
        <v>3377</v>
      </c>
      <c r="D75" s="6" t="s">
        <v>32</v>
      </c>
      <c r="E75" s="6" t="s">
        <v>51</v>
      </c>
      <c r="F75" s="6" t="s">
        <v>34</v>
      </c>
      <c r="G75" s="6" t="s">
        <v>162</v>
      </c>
      <c r="H75" s="7" t="s">
        <v>47</v>
      </c>
      <c r="I75" s="8">
        <v>44734</v>
      </c>
      <c r="J75" s="46" t="str">
        <f>TEXT(Tabla1[[#This Row],[FECHA EVENTO]],"dddd")</f>
        <v>miércoles</v>
      </c>
      <c r="K75" s="9" t="str">
        <f>TEXT(Tabla1[[#This Row],[FECHA EVENTO]], "[$-es-ES]mmmm")</f>
        <v>junio</v>
      </c>
      <c r="L75" s="9">
        <f>YEAR(Tabla1[[#This Row],[FECHA EVENTO]])</f>
        <v>2022</v>
      </c>
      <c r="M75" s="47">
        <v>8.5555555555555551E-2</v>
      </c>
      <c r="N75" s="12">
        <f>HOUR(Tabla1[[#This Row],[HORA]])</f>
        <v>2</v>
      </c>
      <c r="O75" s="12">
        <v>3</v>
      </c>
      <c r="P75" s="12">
        <v>12</v>
      </c>
      <c r="Q75" s="10">
        <v>8.5717592592592595E-2</v>
      </c>
      <c r="R75" s="10">
        <v>9.7222222222222224E-2</v>
      </c>
      <c r="S75" s="10">
        <f t="shared" si="0"/>
        <v>1.6203703703704386E-4</v>
      </c>
      <c r="T75" s="59">
        <f t="shared" si="1"/>
        <v>1.1504629629629629E-2</v>
      </c>
      <c r="U75" s="12" t="s">
        <v>152</v>
      </c>
      <c r="V75" s="7" t="s">
        <v>38</v>
      </c>
      <c r="W75" s="7" t="s">
        <v>54</v>
      </c>
      <c r="X75" s="7" t="s">
        <v>49</v>
      </c>
      <c r="Y75" s="37">
        <v>173320000</v>
      </c>
      <c r="Z75" s="41">
        <v>0</v>
      </c>
      <c r="AA75" s="12" t="s">
        <v>41</v>
      </c>
      <c r="AB75" s="12" t="s">
        <v>42</v>
      </c>
      <c r="AC75" s="12" t="s">
        <v>37</v>
      </c>
      <c r="AD75" s="36" t="s">
        <v>43</v>
      </c>
      <c r="AE75" s="13"/>
    </row>
    <row r="76" spans="1:31">
      <c r="A76" s="5">
        <v>100064</v>
      </c>
      <c r="B76" s="6">
        <v>1061</v>
      </c>
      <c r="C76" s="14">
        <v>61</v>
      </c>
      <c r="D76" s="6" t="s">
        <v>39</v>
      </c>
      <c r="E76" s="6" t="s">
        <v>39</v>
      </c>
      <c r="F76" s="6" t="s">
        <v>39</v>
      </c>
      <c r="G76" s="6" t="s">
        <v>163</v>
      </c>
      <c r="H76" s="7" t="s">
        <v>87</v>
      </c>
      <c r="I76" s="8">
        <v>44773</v>
      </c>
      <c r="J76" s="46" t="str">
        <f>TEXT(Tabla1[[#This Row],[FECHA EVENTO]],"dddd")</f>
        <v>domingo</v>
      </c>
      <c r="K76" s="9" t="str">
        <f>TEXT(Tabla1[[#This Row],[FECHA EVENTO]], "[$-es-ES]mmmm")</f>
        <v>julio</v>
      </c>
      <c r="L76" s="9">
        <f>YEAR(Tabla1[[#This Row],[FECHA EVENTO]])</f>
        <v>2022</v>
      </c>
      <c r="M76" s="47">
        <v>8.413194444444444E-2</v>
      </c>
      <c r="N76" s="12">
        <f>HOUR(Tabla1[[#This Row],[HORA]])</f>
        <v>2</v>
      </c>
      <c r="O76" s="12">
        <v>1</v>
      </c>
      <c r="P76" s="12">
        <v>9</v>
      </c>
      <c r="Q76" s="10">
        <v>8.4201388888888895E-2</v>
      </c>
      <c r="R76" s="10">
        <v>0.10543981481481481</v>
      </c>
      <c r="S76" s="10">
        <f t="shared" si="0"/>
        <v>6.94444444444553E-5</v>
      </c>
      <c r="T76" s="59">
        <f t="shared" si="1"/>
        <v>2.1238425925925911E-2</v>
      </c>
      <c r="U76" s="12" t="s">
        <v>37</v>
      </c>
      <c r="V76" s="7" t="s">
        <v>38</v>
      </c>
      <c r="W76" s="7" t="s">
        <v>39</v>
      </c>
      <c r="X76" s="7" t="s">
        <v>40</v>
      </c>
      <c r="Y76" s="37">
        <v>0</v>
      </c>
      <c r="Z76" s="41">
        <v>0</v>
      </c>
      <c r="AA76" s="12" t="s">
        <v>55</v>
      </c>
      <c r="AB76" s="12" t="s">
        <v>42</v>
      </c>
      <c r="AC76" s="12" t="s">
        <v>37</v>
      </c>
      <c r="AD76" s="36" t="s">
        <v>43</v>
      </c>
      <c r="AE76" s="13"/>
    </row>
    <row r="77" spans="1:31">
      <c r="A77" s="5">
        <v>100065</v>
      </c>
      <c r="B77" s="6">
        <v>7606</v>
      </c>
      <c r="C77" s="6">
        <v>6778</v>
      </c>
      <c r="D77" s="6" t="s">
        <v>32</v>
      </c>
      <c r="E77" s="6" t="s">
        <v>76</v>
      </c>
      <c r="F77" s="6" t="s">
        <v>81</v>
      </c>
      <c r="G77" s="6" t="s">
        <v>164</v>
      </c>
      <c r="H77" s="7" t="s">
        <v>47</v>
      </c>
      <c r="I77" s="8">
        <v>44773</v>
      </c>
      <c r="J77" s="46" t="str">
        <f>TEXT(Tabla1[[#This Row],[FECHA EVENTO]],"dddd")</f>
        <v>domingo</v>
      </c>
      <c r="K77" s="9" t="str">
        <f>TEXT(Tabla1[[#This Row],[FECHA EVENTO]], "[$-es-ES]mmmm")</f>
        <v>julio</v>
      </c>
      <c r="L77" s="9">
        <f>YEAR(Tabla1[[#This Row],[FECHA EVENTO]])</f>
        <v>2022</v>
      </c>
      <c r="M77" s="47">
        <v>0.27663194444444444</v>
      </c>
      <c r="N77" s="12">
        <f>HOUR(Tabla1[[#This Row],[HORA]])</f>
        <v>6</v>
      </c>
      <c r="O77" s="12">
        <v>38</v>
      </c>
      <c r="P77" s="12">
        <v>21</v>
      </c>
      <c r="Q77" s="10">
        <v>0.27668981481481481</v>
      </c>
      <c r="R77" s="10">
        <v>0.28333333333333333</v>
      </c>
      <c r="S77" s="10">
        <f t="shared" si="0"/>
        <v>5.7870370370360913E-5</v>
      </c>
      <c r="T77" s="59">
        <f t="shared" si="1"/>
        <v>6.6435185185185208E-3</v>
      </c>
      <c r="U77" s="12" t="s">
        <v>152</v>
      </c>
      <c r="V77" s="7" t="s">
        <v>38</v>
      </c>
      <c r="W77" s="7" t="s">
        <v>54</v>
      </c>
      <c r="X77" s="7" t="s">
        <v>78</v>
      </c>
      <c r="Y77" s="37">
        <v>104720000</v>
      </c>
      <c r="Z77" s="41">
        <v>0</v>
      </c>
      <c r="AA77" s="12" t="s">
        <v>41</v>
      </c>
      <c r="AB77" s="12" t="s">
        <v>42</v>
      </c>
      <c r="AC77" s="12" t="s">
        <v>37</v>
      </c>
      <c r="AD77" s="36" t="s">
        <v>43</v>
      </c>
      <c r="AE77" s="13"/>
    </row>
    <row r="78" spans="1:31">
      <c r="A78" s="5">
        <v>100066</v>
      </c>
      <c r="B78" s="6">
        <v>8489</v>
      </c>
      <c r="C78" s="6">
        <v>3754</v>
      </c>
      <c r="D78" s="6" t="s">
        <v>32</v>
      </c>
      <c r="E78" s="6" t="s">
        <v>76</v>
      </c>
      <c r="F78" s="6" t="s">
        <v>81</v>
      </c>
      <c r="G78" s="6" t="s">
        <v>165</v>
      </c>
      <c r="H78" s="7" t="s">
        <v>47</v>
      </c>
      <c r="I78" s="8">
        <v>44779</v>
      </c>
      <c r="J78" s="46" t="str">
        <f>TEXT(Tabla1[[#This Row],[FECHA EVENTO]],"dddd")</f>
        <v>sábado</v>
      </c>
      <c r="K78" s="9" t="str">
        <f>TEXT(Tabla1[[#This Row],[FECHA EVENTO]], "[$-es-ES]mmmm")</f>
        <v>agosto</v>
      </c>
      <c r="L78" s="9">
        <f>YEAR(Tabla1[[#This Row],[FECHA EVENTO]])</f>
        <v>2022</v>
      </c>
      <c r="M78" s="47">
        <v>0.11033564814814815</v>
      </c>
      <c r="N78" s="12">
        <f>HOUR(Tabla1[[#This Row],[HORA]])</f>
        <v>2</v>
      </c>
      <c r="O78" s="12">
        <v>38</v>
      </c>
      <c r="P78" s="12">
        <v>53</v>
      </c>
      <c r="Q78" s="10">
        <v>0.11050925925925925</v>
      </c>
      <c r="R78" s="10">
        <v>0.12083333333333333</v>
      </c>
      <c r="S78" s="10">
        <f t="shared" si="0"/>
        <v>1.7361111111109662E-4</v>
      </c>
      <c r="T78" s="59">
        <f t="shared" si="1"/>
        <v>1.0324074074074083E-2</v>
      </c>
      <c r="U78" s="12" t="s">
        <v>152</v>
      </c>
      <c r="V78" s="7" t="s">
        <v>38</v>
      </c>
      <c r="W78" s="7" t="s">
        <v>54</v>
      </c>
      <c r="X78" s="7" t="s">
        <v>49</v>
      </c>
      <c r="Y78" s="37">
        <v>287860000</v>
      </c>
      <c r="Z78" s="41">
        <v>0</v>
      </c>
      <c r="AA78" s="12" t="s">
        <v>41</v>
      </c>
      <c r="AB78" s="12" t="s">
        <v>42</v>
      </c>
      <c r="AC78" s="12" t="s">
        <v>37</v>
      </c>
      <c r="AD78" s="36" t="s">
        <v>43</v>
      </c>
      <c r="AE78" s="13"/>
    </row>
    <row r="79" spans="1:31">
      <c r="A79" s="5">
        <v>100067</v>
      </c>
      <c r="B79" s="6">
        <v>7488</v>
      </c>
      <c r="C79" s="6">
        <v>5822</v>
      </c>
      <c r="D79" s="6" t="s">
        <v>32</v>
      </c>
      <c r="E79" s="6" t="s">
        <v>76</v>
      </c>
      <c r="F79" s="6" t="s">
        <v>34</v>
      </c>
      <c r="G79" s="6" t="s">
        <v>166</v>
      </c>
      <c r="H79" s="7" t="s">
        <v>53</v>
      </c>
      <c r="I79" s="8">
        <v>44805</v>
      </c>
      <c r="J79" s="46" t="str">
        <f>TEXT(Tabla1[[#This Row],[FECHA EVENTO]],"dddd")</f>
        <v>jueves</v>
      </c>
      <c r="K79" s="9" t="str">
        <f>TEXT(Tabla1[[#This Row],[FECHA EVENTO]], "[$-es-ES]mmmm")</f>
        <v>septiembre</v>
      </c>
      <c r="L79" s="9">
        <f>YEAR(Tabla1[[#This Row],[FECHA EVENTO]])</f>
        <v>2022</v>
      </c>
      <c r="M79" s="47">
        <v>0.15328703703703703</v>
      </c>
      <c r="N79" s="12">
        <f>HOUR(Tabla1[[#This Row],[HORA]])</f>
        <v>3</v>
      </c>
      <c r="O79" s="12">
        <v>40</v>
      </c>
      <c r="P79" s="12">
        <v>44</v>
      </c>
      <c r="Q79" s="10">
        <v>0.15336805555555555</v>
      </c>
      <c r="R79" s="10">
        <v>0.15863425925925925</v>
      </c>
      <c r="S79" s="10">
        <f t="shared" si="0"/>
        <v>8.1018518518521931E-5</v>
      </c>
      <c r="T79" s="59">
        <f t="shared" si="1"/>
        <v>5.2662037037037035E-3</v>
      </c>
      <c r="U79" s="12" t="s">
        <v>152</v>
      </c>
      <c r="V79" s="7" t="s">
        <v>38</v>
      </c>
      <c r="W79" s="7" t="s">
        <v>54</v>
      </c>
      <c r="X79" s="7" t="s">
        <v>49</v>
      </c>
      <c r="Y79" s="37">
        <v>110980000</v>
      </c>
      <c r="Z79" s="41">
        <v>0</v>
      </c>
      <c r="AA79" s="12" t="s">
        <v>41</v>
      </c>
      <c r="AB79" s="12" t="s">
        <v>42</v>
      </c>
      <c r="AC79" s="12" t="s">
        <v>37</v>
      </c>
      <c r="AD79" s="36" t="s">
        <v>43</v>
      </c>
      <c r="AE79" s="13"/>
    </row>
    <row r="80" spans="1:31">
      <c r="A80" s="5">
        <v>100068</v>
      </c>
      <c r="B80" s="6">
        <v>7606</v>
      </c>
      <c r="C80" s="15">
        <v>6778</v>
      </c>
      <c r="D80" s="6" t="s">
        <v>32</v>
      </c>
      <c r="E80" s="6" t="s">
        <v>76</v>
      </c>
      <c r="F80" s="6" t="s">
        <v>81</v>
      </c>
      <c r="G80" s="6" t="s">
        <v>164</v>
      </c>
      <c r="H80" s="7" t="s">
        <v>47</v>
      </c>
      <c r="I80" s="8">
        <v>44812</v>
      </c>
      <c r="J80" s="46" t="str">
        <f>TEXT(Tabla1[[#This Row],[FECHA EVENTO]],"dddd")</f>
        <v>jueves</v>
      </c>
      <c r="K80" s="9" t="str">
        <f>TEXT(Tabla1[[#This Row],[FECHA EVENTO]], "[$-es-ES]mmmm")</f>
        <v>septiembre</v>
      </c>
      <c r="L80" s="9">
        <f>YEAR(Tabla1[[#This Row],[FECHA EVENTO]])</f>
        <v>2022</v>
      </c>
      <c r="M80" s="47">
        <v>0.22423611111111111</v>
      </c>
      <c r="N80" s="12">
        <f>HOUR(Tabla1[[#This Row],[HORA]])</f>
        <v>5</v>
      </c>
      <c r="O80" s="12">
        <v>22</v>
      </c>
      <c r="P80" s="12">
        <v>54</v>
      </c>
      <c r="Q80" s="10">
        <v>0.22423611111111111</v>
      </c>
      <c r="R80" s="10">
        <v>0.23449074074074075</v>
      </c>
      <c r="S80" s="10">
        <f t="shared" si="0"/>
        <v>0</v>
      </c>
      <c r="T80" s="59">
        <f t="shared" si="1"/>
        <v>1.0254629629629641E-2</v>
      </c>
      <c r="U80" s="12" t="s">
        <v>152</v>
      </c>
      <c r="V80" s="7" t="s">
        <v>38</v>
      </c>
      <c r="W80" s="7" t="s">
        <v>54</v>
      </c>
      <c r="X80" s="7" t="s">
        <v>49</v>
      </c>
      <c r="Y80" s="37">
        <v>50920000</v>
      </c>
      <c r="Z80" s="41">
        <v>0</v>
      </c>
      <c r="AA80" s="12" t="s">
        <v>41</v>
      </c>
      <c r="AB80" s="12" t="s">
        <v>42</v>
      </c>
      <c r="AC80" s="12" t="s">
        <v>37</v>
      </c>
      <c r="AD80" s="36" t="s">
        <v>43</v>
      </c>
      <c r="AE80" s="13"/>
    </row>
    <row r="81" spans="1:31">
      <c r="A81" s="5">
        <v>100069</v>
      </c>
      <c r="B81" s="6">
        <v>1756</v>
      </c>
      <c r="C81" s="14">
        <v>756</v>
      </c>
      <c r="D81" s="6" t="s">
        <v>39</v>
      </c>
      <c r="E81" s="6" t="s">
        <v>39</v>
      </c>
      <c r="F81" s="6" t="s">
        <v>39</v>
      </c>
      <c r="G81" s="6" t="s">
        <v>167</v>
      </c>
      <c r="H81" s="7" t="s">
        <v>53</v>
      </c>
      <c r="I81" s="8">
        <v>44816</v>
      </c>
      <c r="J81" s="46" t="str">
        <f>TEXT(Tabla1[[#This Row],[FECHA EVENTO]],"dddd")</f>
        <v>lunes</v>
      </c>
      <c r="K81" s="9" t="str">
        <f>TEXT(Tabla1[[#This Row],[FECHA EVENTO]], "[$-es-ES]mmmm")</f>
        <v>septiembre</v>
      </c>
      <c r="L81" s="9">
        <f>YEAR(Tabla1[[#This Row],[FECHA EVENTO]])</f>
        <v>2022</v>
      </c>
      <c r="M81" s="47">
        <v>0.64755787037037038</v>
      </c>
      <c r="N81" s="12">
        <f>HOUR(Tabla1[[#This Row],[HORA]])</f>
        <v>15</v>
      </c>
      <c r="O81" s="12">
        <v>32</v>
      </c>
      <c r="P81" s="12">
        <v>29</v>
      </c>
      <c r="Q81" s="10">
        <v>0.64802083333333338</v>
      </c>
      <c r="R81" s="10">
        <v>0.64976851851851858</v>
      </c>
      <c r="S81" s="10">
        <f t="shared" si="0"/>
        <v>4.6296296296299833E-4</v>
      </c>
      <c r="T81" s="59">
        <f t="shared" si="1"/>
        <v>1.7476851851851993E-3</v>
      </c>
      <c r="U81" s="12" t="s">
        <v>152</v>
      </c>
      <c r="V81" s="7" t="s">
        <v>71</v>
      </c>
      <c r="W81" s="7" t="s">
        <v>39</v>
      </c>
      <c r="X81" s="7" t="s">
        <v>71</v>
      </c>
      <c r="Y81" s="37">
        <v>69588126</v>
      </c>
      <c r="Z81" s="41">
        <v>0</v>
      </c>
      <c r="AA81" s="12" t="s">
        <v>41</v>
      </c>
      <c r="AB81" s="12" t="s">
        <v>42</v>
      </c>
      <c r="AC81" s="12" t="s">
        <v>37</v>
      </c>
      <c r="AD81" s="36" t="s">
        <v>43</v>
      </c>
      <c r="AE81" s="13"/>
    </row>
    <row r="82" spans="1:31">
      <c r="A82" s="5">
        <v>100070</v>
      </c>
      <c r="B82" s="6">
        <v>8436</v>
      </c>
      <c r="C82" s="6">
        <v>3813</v>
      </c>
      <c r="D82" s="6" t="s">
        <v>32</v>
      </c>
      <c r="E82" s="6" t="s">
        <v>76</v>
      </c>
      <c r="F82" s="6" t="s">
        <v>34</v>
      </c>
      <c r="G82" s="6" t="s">
        <v>168</v>
      </c>
      <c r="H82" s="7" t="s">
        <v>36</v>
      </c>
      <c r="I82" s="8">
        <v>44859</v>
      </c>
      <c r="J82" s="46" t="str">
        <f>TEXT(Tabla1[[#This Row],[FECHA EVENTO]],"dddd")</f>
        <v>martes</v>
      </c>
      <c r="K82" s="9" t="str">
        <f>TEXT(Tabla1[[#This Row],[FECHA EVENTO]], "[$-es-ES]mmmm")</f>
        <v>octubre</v>
      </c>
      <c r="L82" s="9">
        <f>YEAR(Tabla1[[#This Row],[FECHA EVENTO]])</f>
        <v>2022</v>
      </c>
      <c r="M82" s="47">
        <v>0.12119212962962962</v>
      </c>
      <c r="N82" s="12">
        <f>HOUR(Tabla1[[#This Row],[HORA]])</f>
        <v>2</v>
      </c>
      <c r="O82" s="12">
        <v>54</v>
      </c>
      <c r="P82" s="12">
        <v>31</v>
      </c>
      <c r="Q82" s="10">
        <v>0.12146990740740742</v>
      </c>
      <c r="R82" s="10">
        <v>0.12748842592592594</v>
      </c>
      <c r="S82" s="10">
        <f t="shared" si="0"/>
        <v>2.7777777777779344E-4</v>
      </c>
      <c r="T82" s="59">
        <f t="shared" si="1"/>
        <v>6.0185185185185203E-3</v>
      </c>
      <c r="U82" s="12" t="s">
        <v>152</v>
      </c>
      <c r="V82" s="7" t="s">
        <v>38</v>
      </c>
      <c r="W82" s="7" t="s">
        <v>54</v>
      </c>
      <c r="X82" s="7" t="s">
        <v>49</v>
      </c>
      <c r="Y82" s="37">
        <v>236590000</v>
      </c>
      <c r="Z82" s="41">
        <v>0</v>
      </c>
      <c r="AA82" s="12" t="s">
        <v>41</v>
      </c>
      <c r="AB82" s="12" t="s">
        <v>42</v>
      </c>
      <c r="AC82" s="12" t="s">
        <v>37</v>
      </c>
      <c r="AD82" s="36" t="s">
        <v>43</v>
      </c>
      <c r="AE82" s="13"/>
    </row>
    <row r="83" spans="1:31">
      <c r="A83" s="5">
        <v>100071</v>
      </c>
      <c r="B83" s="6">
        <v>6992</v>
      </c>
      <c r="C83" s="6">
        <v>8805</v>
      </c>
      <c r="D83" s="6" t="s">
        <v>32</v>
      </c>
      <c r="E83" s="6" t="s">
        <v>51</v>
      </c>
      <c r="F83" s="6" t="s">
        <v>34</v>
      </c>
      <c r="G83" s="6" t="s">
        <v>169</v>
      </c>
      <c r="H83" s="7" t="s">
        <v>47</v>
      </c>
      <c r="I83" s="8">
        <v>44883</v>
      </c>
      <c r="J83" s="46" t="str">
        <f>TEXT(Tabla1[[#This Row],[FECHA EVENTO]],"dddd")</f>
        <v>viernes</v>
      </c>
      <c r="K83" s="9" t="str">
        <f>TEXT(Tabla1[[#This Row],[FECHA EVENTO]], "[$-es-ES]mmmm")</f>
        <v>noviembre</v>
      </c>
      <c r="L83" s="9">
        <f>YEAR(Tabla1[[#This Row],[FECHA EVENTO]])</f>
        <v>2022</v>
      </c>
      <c r="M83" s="47">
        <v>8.8333333333333333E-2</v>
      </c>
      <c r="N83" s="12">
        <f>HOUR(Tabla1[[#This Row],[HORA]])</f>
        <v>2</v>
      </c>
      <c r="O83" s="12">
        <v>7</v>
      </c>
      <c r="P83" s="12">
        <v>12</v>
      </c>
      <c r="Q83" s="10">
        <v>8.8379629629629627E-2</v>
      </c>
      <c r="R83" s="10">
        <v>9.3773148148148147E-2</v>
      </c>
      <c r="S83" s="10">
        <f t="shared" si="0"/>
        <v>4.6296296296294281E-5</v>
      </c>
      <c r="T83" s="59">
        <f t="shared" si="1"/>
        <v>5.3935185185185197E-3</v>
      </c>
      <c r="U83" s="12" t="s">
        <v>152</v>
      </c>
      <c r="V83" s="7" t="s">
        <v>38</v>
      </c>
      <c r="W83" s="7" t="s">
        <v>54</v>
      </c>
      <c r="X83" s="7" t="s">
        <v>49</v>
      </c>
      <c r="Y83" s="37">
        <v>195460000</v>
      </c>
      <c r="Z83" s="41">
        <v>0</v>
      </c>
      <c r="AA83" s="12" t="s">
        <v>41</v>
      </c>
      <c r="AB83" s="12" t="s">
        <v>42</v>
      </c>
      <c r="AC83" s="12" t="s">
        <v>37</v>
      </c>
      <c r="AD83" s="36" t="s">
        <v>43</v>
      </c>
      <c r="AE83" s="13"/>
    </row>
    <row r="84" spans="1:31">
      <c r="A84" s="5">
        <v>100072</v>
      </c>
      <c r="B84" s="6">
        <v>6992</v>
      </c>
      <c r="C84" s="6">
        <v>8807</v>
      </c>
      <c r="D84" s="6" t="s">
        <v>32</v>
      </c>
      <c r="E84" s="6" t="s">
        <v>51</v>
      </c>
      <c r="F84" s="6" t="s">
        <v>34</v>
      </c>
      <c r="G84" s="6" t="s">
        <v>169</v>
      </c>
      <c r="H84" s="7" t="s">
        <v>47</v>
      </c>
      <c r="I84" s="8">
        <v>44883</v>
      </c>
      <c r="J84" s="46" t="str">
        <f>TEXT(Tabla1[[#This Row],[FECHA EVENTO]],"dddd")</f>
        <v>viernes</v>
      </c>
      <c r="K84" s="9" t="str">
        <f>TEXT(Tabla1[[#This Row],[FECHA EVENTO]], "[$-es-ES]mmmm")</f>
        <v>noviembre</v>
      </c>
      <c r="L84" s="9">
        <f>YEAR(Tabla1[[#This Row],[FECHA EVENTO]])</f>
        <v>2022</v>
      </c>
      <c r="M84" s="47">
        <v>8.8333333333333333E-2</v>
      </c>
      <c r="N84" s="12">
        <f>HOUR(Tabla1[[#This Row],[HORA]])</f>
        <v>2</v>
      </c>
      <c r="O84" s="12">
        <v>7</v>
      </c>
      <c r="P84" s="12">
        <v>12</v>
      </c>
      <c r="Q84" s="10">
        <v>8.8379629629629627E-2</v>
      </c>
      <c r="R84" s="10">
        <v>9.3773148148148147E-2</v>
      </c>
      <c r="S84" s="10">
        <f t="shared" si="0"/>
        <v>4.6296296296294281E-5</v>
      </c>
      <c r="T84" s="59">
        <f t="shared" si="1"/>
        <v>5.3935185185185197E-3</v>
      </c>
      <c r="U84" s="12" t="s">
        <v>152</v>
      </c>
      <c r="V84" s="7" t="s">
        <v>38</v>
      </c>
      <c r="W84" s="7" t="s">
        <v>54</v>
      </c>
      <c r="X84" s="7" t="s">
        <v>49</v>
      </c>
      <c r="Y84" s="37">
        <v>220830000</v>
      </c>
      <c r="Z84" s="41">
        <v>0</v>
      </c>
      <c r="AA84" s="12" t="s">
        <v>41</v>
      </c>
      <c r="AB84" s="12" t="s">
        <v>42</v>
      </c>
      <c r="AC84" s="12" t="s">
        <v>37</v>
      </c>
      <c r="AD84" s="36" t="s">
        <v>43</v>
      </c>
      <c r="AE84" s="13"/>
    </row>
    <row r="85" spans="1:31">
      <c r="A85" s="5">
        <v>100073</v>
      </c>
      <c r="B85" s="6">
        <v>9990</v>
      </c>
      <c r="C85" s="6">
        <v>6640</v>
      </c>
      <c r="D85" s="6" t="s">
        <v>32</v>
      </c>
      <c r="E85" s="6" t="s">
        <v>51</v>
      </c>
      <c r="F85" s="6" t="s">
        <v>81</v>
      </c>
      <c r="G85" s="6" t="s">
        <v>170</v>
      </c>
      <c r="H85" s="7" t="s">
        <v>36</v>
      </c>
      <c r="I85" s="8">
        <v>44887</v>
      </c>
      <c r="J85" s="46" t="str">
        <f>TEXT(Tabla1[[#This Row],[FECHA EVENTO]],"dddd")</f>
        <v>martes</v>
      </c>
      <c r="K85" s="9" t="str">
        <f>TEXT(Tabla1[[#This Row],[FECHA EVENTO]], "[$-es-ES]mmmm")</f>
        <v>noviembre</v>
      </c>
      <c r="L85" s="9">
        <f>YEAR(Tabla1[[#This Row],[FECHA EVENTO]])</f>
        <v>2022</v>
      </c>
      <c r="M85" s="47">
        <v>0.39987268518518521</v>
      </c>
      <c r="N85" s="12">
        <f>HOUR(Tabla1[[#This Row],[HORA]])</f>
        <v>9</v>
      </c>
      <c r="O85" s="12">
        <v>35</v>
      </c>
      <c r="P85" s="12">
        <v>49</v>
      </c>
      <c r="Q85" s="10">
        <v>0.40004629629629629</v>
      </c>
      <c r="R85" s="10">
        <v>0.40986111111111106</v>
      </c>
      <c r="S85" s="10">
        <f t="shared" si="0"/>
        <v>1.7361111111108274E-4</v>
      </c>
      <c r="T85" s="59">
        <f t="shared" si="1"/>
        <v>9.8148148148147762E-3</v>
      </c>
      <c r="U85" s="12" t="s">
        <v>152</v>
      </c>
      <c r="V85" s="7" t="s">
        <v>38</v>
      </c>
      <c r="W85" s="7" t="s">
        <v>32</v>
      </c>
      <c r="X85" s="7" t="s">
        <v>112</v>
      </c>
      <c r="Y85" s="37">
        <v>230430000</v>
      </c>
      <c r="Z85" s="41">
        <v>0</v>
      </c>
      <c r="AA85" s="12" t="s">
        <v>41</v>
      </c>
      <c r="AB85" s="12" t="s">
        <v>42</v>
      </c>
      <c r="AC85" s="12" t="s">
        <v>37</v>
      </c>
      <c r="AD85" s="36" t="s">
        <v>43</v>
      </c>
      <c r="AE85" s="13"/>
    </row>
    <row r="86" spans="1:31">
      <c r="A86" s="5">
        <v>100074</v>
      </c>
      <c r="B86" s="6">
        <v>7315</v>
      </c>
      <c r="C86" s="6">
        <v>3207</v>
      </c>
      <c r="D86" s="6" t="s">
        <v>32</v>
      </c>
      <c r="E86" s="6" t="s">
        <v>51</v>
      </c>
      <c r="F86" s="6" t="s">
        <v>81</v>
      </c>
      <c r="G86" s="6" t="s">
        <v>171</v>
      </c>
      <c r="H86" s="7" t="s">
        <v>47</v>
      </c>
      <c r="I86" s="8">
        <v>44887</v>
      </c>
      <c r="J86" s="46" t="str">
        <f>TEXT(Tabla1[[#This Row],[FECHA EVENTO]],"dddd")</f>
        <v>martes</v>
      </c>
      <c r="K86" s="9" t="str">
        <f>TEXT(Tabla1[[#This Row],[FECHA EVENTO]], "[$-es-ES]mmmm")</f>
        <v>noviembre</v>
      </c>
      <c r="L86" s="9">
        <f>YEAR(Tabla1[[#This Row],[FECHA EVENTO]])</f>
        <v>2022</v>
      </c>
      <c r="M86" s="47">
        <v>0.57285879629629632</v>
      </c>
      <c r="N86" s="12">
        <f>HOUR(Tabla1[[#This Row],[HORA]])</f>
        <v>13</v>
      </c>
      <c r="O86" s="12">
        <v>44</v>
      </c>
      <c r="P86" s="12">
        <v>55</v>
      </c>
      <c r="Q86" s="10">
        <v>0.57344907407407408</v>
      </c>
      <c r="R86" s="10">
        <v>0.5973842592592592</v>
      </c>
      <c r="S86" s="10">
        <f t="shared" si="0"/>
        <v>5.9027777777775903E-4</v>
      </c>
      <c r="T86" s="59">
        <f t="shared" si="1"/>
        <v>2.3935185185185115E-2</v>
      </c>
      <c r="U86" s="12" t="s">
        <v>37</v>
      </c>
      <c r="V86" s="7" t="s">
        <v>38</v>
      </c>
      <c r="W86" s="7" t="s">
        <v>54</v>
      </c>
      <c r="X86" s="7" t="s">
        <v>49</v>
      </c>
      <c r="Y86" s="37">
        <v>0</v>
      </c>
      <c r="Z86" s="41">
        <v>0</v>
      </c>
      <c r="AA86" s="12" t="s">
        <v>41</v>
      </c>
      <c r="AB86" s="12" t="s">
        <v>42</v>
      </c>
      <c r="AC86" s="12" t="s">
        <v>37</v>
      </c>
      <c r="AD86" s="36" t="s">
        <v>43</v>
      </c>
      <c r="AE86" s="13"/>
    </row>
    <row r="87" spans="1:31">
      <c r="A87" s="5">
        <v>100075</v>
      </c>
      <c r="B87" s="6">
        <v>7292</v>
      </c>
      <c r="C87" s="6">
        <v>8127</v>
      </c>
      <c r="D87" s="6" t="s">
        <v>32</v>
      </c>
      <c r="E87" s="6" t="s">
        <v>51</v>
      </c>
      <c r="F87" s="6" t="s">
        <v>81</v>
      </c>
      <c r="G87" s="6" t="s">
        <v>134</v>
      </c>
      <c r="H87" s="7" t="s">
        <v>47</v>
      </c>
      <c r="I87" s="8">
        <v>44914</v>
      </c>
      <c r="J87" s="46" t="str">
        <f>TEXT(Tabla1[[#This Row],[FECHA EVENTO]],"dddd")</f>
        <v>lunes</v>
      </c>
      <c r="K87" s="9" t="str">
        <f>TEXT(Tabla1[[#This Row],[FECHA EVENTO]], "[$-es-ES]mmmm")</f>
        <v>diciembre</v>
      </c>
      <c r="L87" s="9">
        <f>YEAR(Tabla1[[#This Row],[FECHA EVENTO]])</f>
        <v>2022</v>
      </c>
      <c r="M87" s="47"/>
      <c r="N87" s="12">
        <f>HOUR(Tabla1[[#This Row],[HORA]])</f>
        <v>0</v>
      </c>
      <c r="O87" s="54"/>
      <c r="P87" s="54"/>
      <c r="Q87" s="10"/>
      <c r="R87" s="10"/>
      <c r="S87" s="10"/>
      <c r="T87" s="59"/>
      <c r="U87" s="12" t="s">
        <v>152</v>
      </c>
      <c r="V87" s="7" t="s">
        <v>38</v>
      </c>
      <c r="W87" s="7" t="s">
        <v>54</v>
      </c>
      <c r="X87" s="7" t="s">
        <v>49</v>
      </c>
      <c r="Y87" s="37">
        <v>165190000</v>
      </c>
      <c r="Z87" s="41">
        <v>0</v>
      </c>
      <c r="AA87" s="12" t="s">
        <v>41</v>
      </c>
      <c r="AB87" s="12" t="s">
        <v>42</v>
      </c>
      <c r="AC87" s="12" t="s">
        <v>37</v>
      </c>
      <c r="AD87" s="36" t="s">
        <v>43</v>
      </c>
      <c r="AE87" s="13" t="s">
        <v>172</v>
      </c>
    </row>
    <row r="88" spans="1:31">
      <c r="A88" s="5">
        <v>100076</v>
      </c>
      <c r="B88" s="6">
        <v>8240</v>
      </c>
      <c r="C88" s="6">
        <v>4316</v>
      </c>
      <c r="D88" s="6" t="s">
        <v>32</v>
      </c>
      <c r="E88" s="6" t="s">
        <v>76</v>
      </c>
      <c r="F88" s="6" t="s">
        <v>34</v>
      </c>
      <c r="G88" s="6" t="s">
        <v>173</v>
      </c>
      <c r="H88" s="7" t="s">
        <v>47</v>
      </c>
      <c r="I88" s="8">
        <v>44914</v>
      </c>
      <c r="J88" s="46" t="str">
        <f>TEXT(Tabla1[[#This Row],[FECHA EVENTO]],"dddd")</f>
        <v>lunes</v>
      </c>
      <c r="K88" s="9" t="str">
        <f>TEXT(Tabla1[[#This Row],[FECHA EVENTO]], "[$-es-ES]mmmm")</f>
        <v>diciembre</v>
      </c>
      <c r="L88" s="9">
        <f>YEAR(Tabla1[[#This Row],[FECHA EVENTO]])</f>
        <v>2022</v>
      </c>
      <c r="M88" s="47">
        <v>0.20343750000000002</v>
      </c>
      <c r="N88" s="12">
        <f>HOUR(Tabla1[[#This Row],[HORA]])</f>
        <v>4</v>
      </c>
      <c r="O88" s="12">
        <v>52</v>
      </c>
      <c r="P88" s="12">
        <v>57</v>
      </c>
      <c r="Q88" s="10">
        <v>0.20354166666666665</v>
      </c>
      <c r="R88" s="10">
        <v>0.22201388888888887</v>
      </c>
      <c r="S88" s="10">
        <f t="shared" ref="S88:S108" si="2">Q88-M88</f>
        <v>1.0416666666662744E-4</v>
      </c>
      <c r="T88" s="59">
        <f t="shared" ref="T88:T108" si="3">R88-Q88</f>
        <v>1.8472222222222223E-2</v>
      </c>
      <c r="U88" s="12" t="s">
        <v>152</v>
      </c>
      <c r="V88" s="7" t="s">
        <v>38</v>
      </c>
      <c r="W88" s="7" t="s">
        <v>54</v>
      </c>
      <c r="X88" s="7" t="s">
        <v>49</v>
      </c>
      <c r="Y88" s="37">
        <v>292600000</v>
      </c>
      <c r="Z88" s="41">
        <v>0</v>
      </c>
      <c r="AA88" s="12" t="s">
        <v>41</v>
      </c>
      <c r="AB88" s="12" t="s">
        <v>42</v>
      </c>
      <c r="AC88" s="12" t="s">
        <v>37</v>
      </c>
      <c r="AD88" s="36" t="s">
        <v>43</v>
      </c>
      <c r="AE88" s="13"/>
    </row>
    <row r="89" spans="1:31">
      <c r="A89" s="5">
        <v>100077</v>
      </c>
      <c r="B89" s="6">
        <v>8084</v>
      </c>
      <c r="C89" s="6">
        <v>4900</v>
      </c>
      <c r="D89" s="6" t="s">
        <v>32</v>
      </c>
      <c r="E89" s="6" t="s">
        <v>51</v>
      </c>
      <c r="F89" s="6" t="s">
        <v>34</v>
      </c>
      <c r="G89" s="6" t="s">
        <v>174</v>
      </c>
      <c r="H89" s="7" t="s">
        <v>47</v>
      </c>
      <c r="I89" s="8">
        <v>44917</v>
      </c>
      <c r="J89" s="46" t="str">
        <f>TEXT(Tabla1[[#This Row],[FECHA EVENTO]],"dddd")</f>
        <v>jueves</v>
      </c>
      <c r="K89" s="9" t="str">
        <f>TEXT(Tabla1[[#This Row],[FECHA EVENTO]], "[$-es-ES]mmmm")</f>
        <v>diciembre</v>
      </c>
      <c r="L89" s="9">
        <f>YEAR(Tabla1[[#This Row],[FECHA EVENTO]])</f>
        <v>2022</v>
      </c>
      <c r="M89" s="47">
        <v>0.23877314814814818</v>
      </c>
      <c r="N89" s="12">
        <f>HOUR(Tabla1[[#This Row],[HORA]])</f>
        <v>5</v>
      </c>
      <c r="O89" s="12">
        <v>43</v>
      </c>
      <c r="P89" s="12">
        <v>50</v>
      </c>
      <c r="Q89" s="10">
        <v>0.23922453703703703</v>
      </c>
      <c r="R89" s="10">
        <v>0.25347222222222221</v>
      </c>
      <c r="S89" s="10">
        <f t="shared" si="2"/>
        <v>4.5138888888884843E-4</v>
      </c>
      <c r="T89" s="59">
        <f t="shared" si="3"/>
        <v>1.4247685185185183E-2</v>
      </c>
      <c r="U89" s="12" t="s">
        <v>152</v>
      </c>
      <c r="V89" s="7" t="s">
        <v>38</v>
      </c>
      <c r="W89" s="7" t="s">
        <v>54</v>
      </c>
      <c r="X89" s="7" t="s">
        <v>49</v>
      </c>
      <c r="Y89" s="37">
        <v>235020000</v>
      </c>
      <c r="Z89" s="41">
        <v>0</v>
      </c>
      <c r="AA89" s="12" t="s">
        <v>41</v>
      </c>
      <c r="AB89" s="12" t="s">
        <v>42</v>
      </c>
      <c r="AC89" s="12" t="s">
        <v>37</v>
      </c>
      <c r="AD89" s="36" t="s">
        <v>43</v>
      </c>
      <c r="AE89" s="13"/>
    </row>
    <row r="90" spans="1:31">
      <c r="A90" s="5">
        <v>100078</v>
      </c>
      <c r="B90" s="6">
        <v>8394</v>
      </c>
      <c r="C90" s="6">
        <v>4102</v>
      </c>
      <c r="D90" s="6" t="s">
        <v>32</v>
      </c>
      <c r="E90" s="6" t="s">
        <v>51</v>
      </c>
      <c r="F90" s="6" t="s">
        <v>34</v>
      </c>
      <c r="G90" s="6" t="s">
        <v>175</v>
      </c>
      <c r="H90" s="7" t="s">
        <v>47</v>
      </c>
      <c r="I90" s="8">
        <v>44939</v>
      </c>
      <c r="J90" s="46" t="str">
        <f>TEXT(Tabla1[[#This Row],[FECHA EVENTO]],"dddd")</f>
        <v>viernes</v>
      </c>
      <c r="K90" s="9" t="str">
        <f>TEXT(Tabla1[[#This Row],[FECHA EVENTO]], "[$-es-ES]mmmm")</f>
        <v>enero</v>
      </c>
      <c r="L90" s="9">
        <f>YEAR(Tabla1[[#This Row],[FECHA EVENTO]])</f>
        <v>2023</v>
      </c>
      <c r="M90" s="47">
        <v>0.11439814814814815</v>
      </c>
      <c r="N90" s="12">
        <f>HOUR(Tabla1[[#This Row],[HORA]])</f>
        <v>2</v>
      </c>
      <c r="O90" s="12">
        <v>44</v>
      </c>
      <c r="P90" s="12">
        <v>44</v>
      </c>
      <c r="Q90" s="10">
        <v>0.11444444444444445</v>
      </c>
      <c r="R90" s="10">
        <v>0.12503472222222223</v>
      </c>
      <c r="S90" s="10">
        <f t="shared" si="2"/>
        <v>4.6296296296294281E-5</v>
      </c>
      <c r="T90" s="59">
        <f t="shared" si="3"/>
        <v>1.0590277777777782E-2</v>
      </c>
      <c r="U90" s="12" t="s">
        <v>152</v>
      </c>
      <c r="V90" s="7" t="s">
        <v>38</v>
      </c>
      <c r="W90" s="7" t="s">
        <v>54</v>
      </c>
      <c r="X90" s="7" t="s">
        <v>49</v>
      </c>
      <c r="Y90" s="37">
        <v>224090000</v>
      </c>
      <c r="Z90" s="41">
        <v>0</v>
      </c>
      <c r="AA90" s="12" t="s">
        <v>41</v>
      </c>
      <c r="AB90" s="12" t="s">
        <v>42</v>
      </c>
      <c r="AC90" s="12" t="s">
        <v>37</v>
      </c>
      <c r="AD90" s="36" t="s">
        <v>43</v>
      </c>
      <c r="AE90" s="13"/>
    </row>
    <row r="91" spans="1:31">
      <c r="A91" s="5">
        <v>100079</v>
      </c>
      <c r="B91" s="6">
        <v>9889</v>
      </c>
      <c r="C91" s="6">
        <v>2412</v>
      </c>
      <c r="D91" s="6" t="s">
        <v>32</v>
      </c>
      <c r="E91" s="6" t="s">
        <v>51</v>
      </c>
      <c r="F91" s="6" t="s">
        <v>57</v>
      </c>
      <c r="G91" s="6" t="s">
        <v>176</v>
      </c>
      <c r="H91" s="7" t="s">
        <v>47</v>
      </c>
      <c r="I91" s="8">
        <v>44942</v>
      </c>
      <c r="J91" s="46" t="str">
        <f>TEXT(Tabla1[[#This Row],[FECHA EVENTO]],"dddd")</f>
        <v>lunes</v>
      </c>
      <c r="K91" s="9" t="str">
        <f>TEXT(Tabla1[[#This Row],[FECHA EVENTO]], "[$-es-ES]mmmm")</f>
        <v>enero</v>
      </c>
      <c r="L91" s="9">
        <f>YEAR(Tabla1[[#This Row],[FECHA EVENTO]])</f>
        <v>2023</v>
      </c>
      <c r="M91" s="47">
        <v>8.9328703703703702E-2</v>
      </c>
      <c r="N91" s="12">
        <f>HOUR(Tabla1[[#This Row],[HORA]])</f>
        <v>2</v>
      </c>
      <c r="O91" s="12">
        <v>8</v>
      </c>
      <c r="P91" s="12">
        <v>38</v>
      </c>
      <c r="Q91" s="10">
        <v>8.9374999999999996E-2</v>
      </c>
      <c r="R91" s="10">
        <v>9.5138888888888884E-2</v>
      </c>
      <c r="S91" s="10">
        <f t="shared" si="2"/>
        <v>4.6296296296294281E-5</v>
      </c>
      <c r="T91" s="59">
        <f t="shared" si="3"/>
        <v>5.7638888888888878E-3</v>
      </c>
      <c r="U91" s="12" t="s">
        <v>152</v>
      </c>
      <c r="V91" s="7" t="s">
        <v>38</v>
      </c>
      <c r="W91" s="7" t="s">
        <v>54</v>
      </c>
      <c r="X91" s="7" t="s">
        <v>49</v>
      </c>
      <c r="Y91" s="37">
        <v>221240000</v>
      </c>
      <c r="Z91" s="41">
        <v>0</v>
      </c>
      <c r="AA91" s="12" t="s">
        <v>41</v>
      </c>
      <c r="AB91" s="12" t="s">
        <v>42</v>
      </c>
      <c r="AC91" s="12" t="s">
        <v>37</v>
      </c>
      <c r="AD91" s="36" t="s">
        <v>43</v>
      </c>
      <c r="AE91" s="13"/>
    </row>
    <row r="92" spans="1:31">
      <c r="A92" s="5">
        <v>100080</v>
      </c>
      <c r="B92" s="6">
        <v>9889</v>
      </c>
      <c r="C92" s="15">
        <v>2412</v>
      </c>
      <c r="D92" s="6" t="s">
        <v>32</v>
      </c>
      <c r="E92" s="6" t="s">
        <v>51</v>
      </c>
      <c r="F92" s="6" t="s">
        <v>57</v>
      </c>
      <c r="G92" s="6" t="s">
        <v>176</v>
      </c>
      <c r="H92" s="7" t="s">
        <v>47</v>
      </c>
      <c r="I92" s="8">
        <v>44942</v>
      </c>
      <c r="J92" s="46" t="str">
        <f>TEXT(Tabla1[[#This Row],[FECHA EVENTO]],"dddd")</f>
        <v>lunes</v>
      </c>
      <c r="K92" s="9" t="str">
        <f>TEXT(Tabla1[[#This Row],[FECHA EVENTO]], "[$-es-ES]mmmm")</f>
        <v>enero</v>
      </c>
      <c r="L92" s="9">
        <f>YEAR(Tabla1[[#This Row],[FECHA EVENTO]])</f>
        <v>2023</v>
      </c>
      <c r="M92" s="47">
        <v>0.13398148148148148</v>
      </c>
      <c r="N92" s="12">
        <f>HOUR(Tabla1[[#This Row],[HORA]])</f>
        <v>3</v>
      </c>
      <c r="O92" s="12">
        <v>12</v>
      </c>
      <c r="P92" s="12">
        <v>56</v>
      </c>
      <c r="Q92" s="10">
        <v>0.13405092592592593</v>
      </c>
      <c r="R92" s="10">
        <v>0.1396412037037037</v>
      </c>
      <c r="S92" s="10">
        <f t="shared" si="2"/>
        <v>6.94444444444553E-5</v>
      </c>
      <c r="T92" s="59">
        <f t="shared" si="3"/>
        <v>5.5902777777777635E-3</v>
      </c>
      <c r="U92" s="12" t="s">
        <v>152</v>
      </c>
      <c r="V92" s="7" t="s">
        <v>38</v>
      </c>
      <c r="W92" s="7" t="s">
        <v>54</v>
      </c>
      <c r="X92" s="7" t="s">
        <v>49</v>
      </c>
      <c r="Y92" s="37">
        <v>179400000</v>
      </c>
      <c r="Z92" s="41">
        <v>0</v>
      </c>
      <c r="AA92" s="12" t="s">
        <v>41</v>
      </c>
      <c r="AB92" s="12" t="s">
        <v>42</v>
      </c>
      <c r="AC92" s="12" t="s">
        <v>37</v>
      </c>
      <c r="AD92" s="36" t="s">
        <v>43</v>
      </c>
      <c r="AE92" s="13" t="s">
        <v>177</v>
      </c>
    </row>
    <row r="93" spans="1:31">
      <c r="A93" s="5">
        <v>100081</v>
      </c>
      <c r="B93" s="6">
        <v>9218</v>
      </c>
      <c r="C93" s="15">
        <v>2980</v>
      </c>
      <c r="D93" s="6" t="s">
        <v>32</v>
      </c>
      <c r="E93" s="6" t="s">
        <v>51</v>
      </c>
      <c r="F93" s="6" t="s">
        <v>34</v>
      </c>
      <c r="G93" s="6" t="s">
        <v>178</v>
      </c>
      <c r="H93" s="7" t="s">
        <v>47</v>
      </c>
      <c r="I93" s="8">
        <v>44967</v>
      </c>
      <c r="J93" s="46" t="str">
        <f>TEXT(Tabla1[[#This Row],[FECHA EVENTO]],"dddd")</f>
        <v>viernes</v>
      </c>
      <c r="K93" s="9" t="str">
        <f>TEXT(Tabla1[[#This Row],[FECHA EVENTO]], "[$-es-ES]mmmm")</f>
        <v>febrero</v>
      </c>
      <c r="L93" s="9">
        <f>YEAR(Tabla1[[#This Row],[FECHA EVENTO]])</f>
        <v>2023</v>
      </c>
      <c r="M93" s="47">
        <v>0.12789351851851852</v>
      </c>
      <c r="N93" s="12">
        <f>HOUR(Tabla1[[#This Row],[HORA]])</f>
        <v>3</v>
      </c>
      <c r="O93" s="12">
        <v>4</v>
      </c>
      <c r="P93" s="12">
        <v>10</v>
      </c>
      <c r="Q93" s="10">
        <v>0.12792824074074075</v>
      </c>
      <c r="R93" s="10">
        <v>0.13749999999999998</v>
      </c>
      <c r="S93" s="10">
        <f t="shared" si="2"/>
        <v>3.472222222222765E-5</v>
      </c>
      <c r="T93" s="59">
        <f t="shared" si="3"/>
        <v>9.5717592592592382E-3</v>
      </c>
      <c r="U93" s="12" t="s">
        <v>152</v>
      </c>
      <c r="V93" s="7" t="s">
        <v>38</v>
      </c>
      <c r="W93" s="7" t="s">
        <v>54</v>
      </c>
      <c r="X93" s="7" t="s">
        <v>49</v>
      </c>
      <c r="Y93" s="37">
        <v>248810000</v>
      </c>
      <c r="Z93" s="41">
        <v>0</v>
      </c>
      <c r="AA93" s="12" t="s">
        <v>41</v>
      </c>
      <c r="AB93" s="12" t="s">
        <v>42</v>
      </c>
      <c r="AC93" s="12" t="s">
        <v>37</v>
      </c>
      <c r="AD93" s="36" t="s">
        <v>43</v>
      </c>
      <c r="AE93" s="13"/>
    </row>
    <row r="94" spans="1:31">
      <c r="A94" s="5">
        <v>100082</v>
      </c>
      <c r="B94" s="6">
        <v>9004</v>
      </c>
      <c r="C94" s="15">
        <v>6805</v>
      </c>
      <c r="D94" s="6" t="s">
        <v>32</v>
      </c>
      <c r="E94" s="6" t="s">
        <v>76</v>
      </c>
      <c r="F94" s="6" t="s">
        <v>81</v>
      </c>
      <c r="G94" s="6" t="s">
        <v>179</v>
      </c>
      <c r="H94" s="7" t="s">
        <v>36</v>
      </c>
      <c r="I94" s="8">
        <v>44973</v>
      </c>
      <c r="J94" s="46" t="str">
        <f>TEXT(Tabla1[[#This Row],[FECHA EVENTO]],"dddd")</f>
        <v>jueves</v>
      </c>
      <c r="K94" s="9" t="str">
        <f>TEXT(Tabla1[[#This Row],[FECHA EVENTO]], "[$-es-ES]mmmm")</f>
        <v>febrero</v>
      </c>
      <c r="L94" s="9">
        <f>YEAR(Tabla1[[#This Row],[FECHA EVENTO]])</f>
        <v>2023</v>
      </c>
      <c r="M94" s="47">
        <v>7.2418981481481473E-2</v>
      </c>
      <c r="N94" s="12">
        <f>HOUR(Tabla1[[#This Row],[HORA]])</f>
        <v>1</v>
      </c>
      <c r="O94" s="12">
        <v>44</v>
      </c>
      <c r="P94" s="12">
        <v>17</v>
      </c>
      <c r="Q94" s="10">
        <v>7.2488425925925928E-2</v>
      </c>
      <c r="R94" s="10">
        <v>7.8136574074074081E-2</v>
      </c>
      <c r="S94" s="10">
        <f t="shared" si="2"/>
        <v>6.94444444444553E-5</v>
      </c>
      <c r="T94" s="59">
        <f t="shared" si="3"/>
        <v>5.6481481481481521E-3</v>
      </c>
      <c r="U94" s="12" t="s">
        <v>152</v>
      </c>
      <c r="V94" s="7" t="s">
        <v>38</v>
      </c>
      <c r="W94" s="7" t="s">
        <v>32</v>
      </c>
      <c r="X94" s="7" t="s">
        <v>49</v>
      </c>
      <c r="Y94" s="37">
        <v>360000000</v>
      </c>
      <c r="Z94" s="41">
        <v>0</v>
      </c>
      <c r="AA94" s="12" t="s">
        <v>41</v>
      </c>
      <c r="AB94" s="12" t="s">
        <v>42</v>
      </c>
      <c r="AC94" s="12" t="s">
        <v>37</v>
      </c>
      <c r="AD94" s="36" t="s">
        <v>43</v>
      </c>
      <c r="AE94" s="7" t="s">
        <v>180</v>
      </c>
    </row>
    <row r="95" spans="1:31">
      <c r="A95" s="5">
        <v>100083</v>
      </c>
      <c r="B95" s="6">
        <v>1540</v>
      </c>
      <c r="C95" s="15">
        <v>540</v>
      </c>
      <c r="D95" s="6" t="s">
        <v>39</v>
      </c>
      <c r="E95" s="6" t="s">
        <v>39</v>
      </c>
      <c r="F95" s="6" t="s">
        <v>39</v>
      </c>
      <c r="G95" s="6" t="s">
        <v>181</v>
      </c>
      <c r="H95" s="7" t="s">
        <v>36</v>
      </c>
      <c r="I95" s="8">
        <v>44981</v>
      </c>
      <c r="J95" s="46" t="str">
        <f>TEXT(Tabla1[[#This Row],[FECHA EVENTO]],"dddd")</f>
        <v>viernes</v>
      </c>
      <c r="K95" s="9" t="str">
        <f>TEXT(Tabla1[[#This Row],[FECHA EVENTO]], "[$-es-ES]mmmm")</f>
        <v>febrero</v>
      </c>
      <c r="L95" s="9">
        <f>YEAR(Tabla1[[#This Row],[FECHA EVENTO]])</f>
        <v>2023</v>
      </c>
      <c r="M95" s="47">
        <v>0.46962962962962962</v>
      </c>
      <c r="N95" s="12">
        <f>HOUR(Tabla1[[#This Row],[HORA]])</f>
        <v>11</v>
      </c>
      <c r="O95" s="12">
        <v>16</v>
      </c>
      <c r="P95" s="12">
        <v>16</v>
      </c>
      <c r="Q95" s="10">
        <v>0.46987268518518516</v>
      </c>
      <c r="R95" s="10">
        <v>0.47361111111111115</v>
      </c>
      <c r="S95" s="10">
        <f t="shared" si="2"/>
        <v>2.4305555555553804E-4</v>
      </c>
      <c r="T95" s="59">
        <f t="shared" si="3"/>
        <v>3.7384259259259922E-3</v>
      </c>
      <c r="U95" s="12" t="s">
        <v>37</v>
      </c>
      <c r="V95" s="7" t="s">
        <v>71</v>
      </c>
      <c r="W95" s="7" t="s">
        <v>39</v>
      </c>
      <c r="X95" s="7" t="s">
        <v>71</v>
      </c>
      <c r="Y95" s="37">
        <v>0</v>
      </c>
      <c r="Z95" s="40">
        <v>126853578</v>
      </c>
      <c r="AA95" s="12" t="s">
        <v>41</v>
      </c>
      <c r="AB95" s="12" t="s">
        <v>42</v>
      </c>
      <c r="AC95" s="12" t="s">
        <v>42</v>
      </c>
      <c r="AD95" s="36" t="s">
        <v>43</v>
      </c>
      <c r="AE95" s="13"/>
    </row>
    <row r="96" spans="1:31">
      <c r="A96" s="5">
        <v>100084</v>
      </c>
      <c r="B96" s="6">
        <v>1061</v>
      </c>
      <c r="C96" s="15">
        <v>61</v>
      </c>
      <c r="D96" s="6" t="s">
        <v>39</v>
      </c>
      <c r="E96" s="6" t="s">
        <v>39</v>
      </c>
      <c r="F96" s="6" t="s">
        <v>39</v>
      </c>
      <c r="G96" s="6" t="s">
        <v>163</v>
      </c>
      <c r="H96" s="7" t="s">
        <v>87</v>
      </c>
      <c r="I96" s="8">
        <v>44987</v>
      </c>
      <c r="J96" s="46" t="str">
        <f>TEXT(Tabla1[[#This Row],[FECHA EVENTO]],"dddd")</f>
        <v>jueves</v>
      </c>
      <c r="K96" s="9" t="str">
        <f>TEXT(Tabla1[[#This Row],[FECHA EVENTO]], "[$-es-ES]mmmm")</f>
        <v>marzo</v>
      </c>
      <c r="L96" s="9">
        <f>YEAR(Tabla1[[#This Row],[FECHA EVENTO]])</f>
        <v>2023</v>
      </c>
      <c r="M96" s="47">
        <v>0.64754629629629623</v>
      </c>
      <c r="N96" s="12">
        <f>HOUR(Tabla1[[#This Row],[HORA]])</f>
        <v>15</v>
      </c>
      <c r="O96" s="12">
        <v>32</v>
      </c>
      <c r="P96" s="12">
        <v>28</v>
      </c>
      <c r="Q96" s="10">
        <v>0.64759259259259261</v>
      </c>
      <c r="R96" s="10">
        <v>0.65069444444444446</v>
      </c>
      <c r="S96" s="10">
        <f t="shared" si="2"/>
        <v>4.6296296296377548E-5</v>
      </c>
      <c r="T96" s="59">
        <f t="shared" si="3"/>
        <v>3.1018518518518556E-3</v>
      </c>
      <c r="U96" s="12" t="s">
        <v>37</v>
      </c>
      <c r="V96" s="7" t="s">
        <v>71</v>
      </c>
      <c r="W96" s="7" t="s">
        <v>39</v>
      </c>
      <c r="X96" s="7" t="s">
        <v>71</v>
      </c>
      <c r="Y96" s="37">
        <v>0</v>
      </c>
      <c r="Z96" s="41">
        <v>6533400</v>
      </c>
      <c r="AA96" s="12" t="s">
        <v>41</v>
      </c>
      <c r="AB96" s="12" t="s">
        <v>42</v>
      </c>
      <c r="AC96" s="12" t="s">
        <v>42</v>
      </c>
      <c r="AD96" s="36" t="s">
        <v>43</v>
      </c>
      <c r="AE96" s="13"/>
    </row>
    <row r="97" spans="1:31">
      <c r="A97" s="5">
        <v>100085</v>
      </c>
      <c r="B97" s="6">
        <v>1377</v>
      </c>
      <c r="C97" s="15">
        <v>377</v>
      </c>
      <c r="D97" s="6" t="s">
        <v>39</v>
      </c>
      <c r="E97" s="6" t="s">
        <v>39</v>
      </c>
      <c r="F97" s="6" t="s">
        <v>39</v>
      </c>
      <c r="G97" s="6" t="s">
        <v>182</v>
      </c>
      <c r="H97" s="7" t="s">
        <v>36</v>
      </c>
      <c r="I97" s="8">
        <v>44988</v>
      </c>
      <c r="J97" s="46" t="str">
        <f>TEXT(Tabla1[[#This Row],[FECHA EVENTO]],"dddd")</f>
        <v>viernes</v>
      </c>
      <c r="K97" s="9" t="str">
        <f>TEXT(Tabla1[[#This Row],[FECHA EVENTO]], "[$-es-ES]mmmm")</f>
        <v>marzo</v>
      </c>
      <c r="L97" s="9">
        <f>YEAR(Tabla1[[#This Row],[FECHA EVENTO]])</f>
        <v>2023</v>
      </c>
      <c r="M97" s="47">
        <v>0.39665509259259263</v>
      </c>
      <c r="N97" s="12">
        <f>HOUR(Tabla1[[#This Row],[HORA]])</f>
        <v>9</v>
      </c>
      <c r="O97" s="12">
        <v>31</v>
      </c>
      <c r="P97" s="12">
        <v>11</v>
      </c>
      <c r="Q97" s="10">
        <v>0.3966898148148148</v>
      </c>
      <c r="R97" s="10">
        <v>0.39986111111111106</v>
      </c>
      <c r="S97" s="10">
        <f t="shared" si="2"/>
        <v>3.4722222222172139E-5</v>
      </c>
      <c r="T97" s="59">
        <f t="shared" si="3"/>
        <v>3.1712962962962554E-3</v>
      </c>
      <c r="U97" s="12" t="s">
        <v>37</v>
      </c>
      <c r="V97" s="7" t="s">
        <v>71</v>
      </c>
      <c r="W97" s="7" t="s">
        <v>39</v>
      </c>
      <c r="X97" s="7" t="s">
        <v>71</v>
      </c>
      <c r="Y97" s="37">
        <v>0</v>
      </c>
      <c r="Z97" s="41">
        <v>0</v>
      </c>
      <c r="AA97" s="12" t="s">
        <v>55</v>
      </c>
      <c r="AB97" s="12" t="s">
        <v>42</v>
      </c>
      <c r="AC97" s="12" t="s">
        <v>37</v>
      </c>
      <c r="AD97" s="36" t="s">
        <v>43</v>
      </c>
      <c r="AE97" s="13"/>
    </row>
    <row r="98" spans="1:31">
      <c r="A98" s="5">
        <v>100086</v>
      </c>
      <c r="B98" s="6">
        <v>8467</v>
      </c>
      <c r="C98" s="15">
        <v>5579</v>
      </c>
      <c r="D98" s="6" t="s">
        <v>32</v>
      </c>
      <c r="E98" s="6" t="s">
        <v>145</v>
      </c>
      <c r="F98" s="6" t="s">
        <v>34</v>
      </c>
      <c r="G98" s="6" t="s">
        <v>146</v>
      </c>
      <c r="H98" s="7" t="s">
        <v>36</v>
      </c>
      <c r="I98" s="8">
        <v>44993</v>
      </c>
      <c r="J98" s="46" t="str">
        <f>TEXT(Tabla1[[#This Row],[FECHA EVENTO]],"dddd")</f>
        <v>miércoles</v>
      </c>
      <c r="K98" s="9" t="str">
        <f>TEXT(Tabla1[[#This Row],[FECHA EVENTO]], "[$-es-ES]mmmm")</f>
        <v>marzo</v>
      </c>
      <c r="L98" s="9">
        <f>YEAR(Tabla1[[#This Row],[FECHA EVENTO]])</f>
        <v>2023</v>
      </c>
      <c r="M98" s="47"/>
      <c r="N98" s="54">
        <f>HOUR(Tabla1[[#This Row],[HORA]])</f>
        <v>0</v>
      </c>
      <c r="O98" s="54"/>
      <c r="P98" s="54"/>
      <c r="Q98" s="10"/>
      <c r="R98" s="10">
        <v>6.2025462962962963E-2</v>
      </c>
      <c r="S98" s="10">
        <f t="shared" si="2"/>
        <v>0</v>
      </c>
      <c r="T98" s="59">
        <f t="shared" si="3"/>
        <v>6.2025462962962963E-2</v>
      </c>
      <c r="U98" s="12" t="s">
        <v>152</v>
      </c>
      <c r="V98" s="7" t="s">
        <v>48</v>
      </c>
      <c r="W98" s="7" t="s">
        <v>32</v>
      </c>
      <c r="X98" s="7" t="s">
        <v>49</v>
      </c>
      <c r="Y98" s="37">
        <v>0</v>
      </c>
      <c r="Z98" s="41">
        <v>0</v>
      </c>
      <c r="AA98" s="12" t="s">
        <v>41</v>
      </c>
      <c r="AB98" s="12" t="s">
        <v>42</v>
      </c>
      <c r="AC98" s="12" t="s">
        <v>37</v>
      </c>
      <c r="AD98" s="36" t="s">
        <v>43</v>
      </c>
      <c r="AE98" s="13" t="s">
        <v>183</v>
      </c>
    </row>
    <row r="99" spans="1:31">
      <c r="A99" s="5">
        <v>100087</v>
      </c>
      <c r="B99" s="6">
        <v>7817</v>
      </c>
      <c r="C99" s="15">
        <v>6084</v>
      </c>
      <c r="D99" s="6" t="s">
        <v>32</v>
      </c>
      <c r="E99" s="6" t="s">
        <v>76</v>
      </c>
      <c r="F99" s="6" t="s">
        <v>57</v>
      </c>
      <c r="G99" s="6" t="s">
        <v>184</v>
      </c>
      <c r="H99" s="7" t="s">
        <v>36</v>
      </c>
      <c r="I99" s="8">
        <v>44997</v>
      </c>
      <c r="J99" s="46" t="str">
        <f>TEXT(Tabla1[[#This Row],[FECHA EVENTO]],"dddd")</f>
        <v>domingo</v>
      </c>
      <c r="K99" s="9" t="str">
        <f>TEXT(Tabla1[[#This Row],[FECHA EVENTO]], "[$-es-ES]mmmm")</f>
        <v>marzo</v>
      </c>
      <c r="L99" s="9">
        <f>YEAR(Tabla1[[#This Row],[FECHA EVENTO]])</f>
        <v>2023</v>
      </c>
      <c r="M99" s="47">
        <v>0.98702546296296301</v>
      </c>
      <c r="N99" s="12">
        <f>HOUR(Tabla1[[#This Row],[HORA]])</f>
        <v>23</v>
      </c>
      <c r="O99" s="12">
        <v>41</v>
      </c>
      <c r="P99" s="12">
        <v>19</v>
      </c>
      <c r="Q99" s="10">
        <v>0.98707175925925927</v>
      </c>
      <c r="R99" s="10">
        <v>0.99336805555555552</v>
      </c>
      <c r="S99" s="10">
        <f t="shared" si="2"/>
        <v>4.6296296296266526E-5</v>
      </c>
      <c r="T99" s="59">
        <f t="shared" si="3"/>
        <v>6.2962962962962443E-3</v>
      </c>
      <c r="U99" s="12" t="s">
        <v>41</v>
      </c>
      <c r="V99" s="7" t="s">
        <v>38</v>
      </c>
      <c r="W99" s="7" t="s">
        <v>32</v>
      </c>
      <c r="X99" s="7" t="s">
        <v>49</v>
      </c>
      <c r="Y99" s="37">
        <v>323530</v>
      </c>
      <c r="Z99" s="41">
        <v>0</v>
      </c>
      <c r="AA99" s="12"/>
      <c r="AB99" s="12" t="s">
        <v>42</v>
      </c>
      <c r="AC99" s="12"/>
      <c r="AD99" s="36" t="s">
        <v>43</v>
      </c>
      <c r="AE99" s="13"/>
    </row>
    <row r="100" spans="1:31">
      <c r="A100" s="5">
        <v>100088</v>
      </c>
      <c r="B100" s="6">
        <v>7606</v>
      </c>
      <c r="C100" s="15">
        <v>6778</v>
      </c>
      <c r="D100" s="6" t="s">
        <v>32</v>
      </c>
      <c r="E100" s="6" t="s">
        <v>76</v>
      </c>
      <c r="F100" s="6" t="s">
        <v>81</v>
      </c>
      <c r="G100" s="6" t="s">
        <v>164</v>
      </c>
      <c r="H100" s="7" t="s">
        <v>47</v>
      </c>
      <c r="I100" s="8">
        <v>45012</v>
      </c>
      <c r="J100" s="46" t="str">
        <f>TEXT(Tabla1[[#This Row],[FECHA EVENTO]],"dddd")</f>
        <v>lunes</v>
      </c>
      <c r="K100" s="9" t="str">
        <f>TEXT(Tabla1[[#This Row],[FECHA EVENTO]], "[$-es-ES]mmmm")</f>
        <v>marzo</v>
      </c>
      <c r="L100" s="9">
        <f>YEAR(Tabla1[[#This Row],[FECHA EVENTO]])</f>
        <v>2023</v>
      </c>
      <c r="M100" s="47"/>
      <c r="N100" s="54">
        <f>HOUR(Tabla1[[#This Row],[HORA]])</f>
        <v>0</v>
      </c>
      <c r="O100" s="54"/>
      <c r="P100" s="54"/>
      <c r="Q100" s="10"/>
      <c r="R100" s="10"/>
      <c r="S100" s="10">
        <f t="shared" si="2"/>
        <v>0</v>
      </c>
      <c r="T100" s="59">
        <f t="shared" si="3"/>
        <v>0</v>
      </c>
      <c r="U100" s="12" t="s">
        <v>152</v>
      </c>
      <c r="V100" s="7" t="s">
        <v>38</v>
      </c>
      <c r="W100" s="7" t="s">
        <v>54</v>
      </c>
      <c r="X100" s="7" t="s">
        <v>49</v>
      </c>
      <c r="Y100" s="37">
        <v>0</v>
      </c>
      <c r="Z100" s="41">
        <v>0</v>
      </c>
      <c r="AA100" s="12" t="s">
        <v>55</v>
      </c>
      <c r="AB100" s="12" t="s">
        <v>42</v>
      </c>
      <c r="AC100" s="12" t="s">
        <v>37</v>
      </c>
      <c r="AD100" s="36" t="s">
        <v>43</v>
      </c>
      <c r="AE100" s="13" t="s">
        <v>185</v>
      </c>
    </row>
    <row r="101" spans="1:31">
      <c r="A101" s="5">
        <v>100089</v>
      </c>
      <c r="B101" s="6">
        <v>1077</v>
      </c>
      <c r="C101" s="15">
        <v>77</v>
      </c>
      <c r="D101" s="6" t="s">
        <v>39</v>
      </c>
      <c r="E101" s="6" t="s">
        <v>39</v>
      </c>
      <c r="F101" s="6" t="s">
        <v>39</v>
      </c>
      <c r="G101" s="6" t="s">
        <v>186</v>
      </c>
      <c r="H101" s="7" t="s">
        <v>87</v>
      </c>
      <c r="I101" s="8">
        <v>45027</v>
      </c>
      <c r="J101" s="46" t="str">
        <f>TEXT(Tabla1[[#This Row],[FECHA EVENTO]],"dddd")</f>
        <v>martes</v>
      </c>
      <c r="K101" s="9" t="str">
        <f>TEXT(Tabla1[[#This Row],[FECHA EVENTO]], "[$-es-ES]mmmm")</f>
        <v>abril</v>
      </c>
      <c r="L101" s="9">
        <f>YEAR(Tabla1[[#This Row],[FECHA EVENTO]])</f>
        <v>2023</v>
      </c>
      <c r="M101" s="47">
        <v>0.62986111111111109</v>
      </c>
      <c r="N101" s="12">
        <f>HOUR(Tabla1[[#This Row],[HORA]])</f>
        <v>15</v>
      </c>
      <c r="O101" s="12">
        <v>7</v>
      </c>
      <c r="P101" s="12">
        <v>0</v>
      </c>
      <c r="Q101" s="10">
        <v>0.62986111111111109</v>
      </c>
      <c r="R101" s="10">
        <v>0.63961805555555562</v>
      </c>
      <c r="S101" s="10">
        <f t="shared" si="2"/>
        <v>0</v>
      </c>
      <c r="T101" s="59">
        <f t="shared" si="3"/>
        <v>9.7569444444445264E-3</v>
      </c>
      <c r="U101" s="12" t="s">
        <v>37</v>
      </c>
      <c r="V101" s="7" t="s">
        <v>71</v>
      </c>
      <c r="W101" s="7" t="s">
        <v>39</v>
      </c>
      <c r="X101" s="7" t="s">
        <v>71</v>
      </c>
      <c r="Y101" s="37">
        <v>0</v>
      </c>
      <c r="Z101" s="40">
        <v>5035722</v>
      </c>
      <c r="AA101" s="12" t="s">
        <v>55</v>
      </c>
      <c r="AB101" s="12" t="s">
        <v>42</v>
      </c>
      <c r="AC101" s="12" t="s">
        <v>42</v>
      </c>
      <c r="AD101" s="36" t="s">
        <v>43</v>
      </c>
      <c r="AE101" s="13" t="s">
        <v>187</v>
      </c>
    </row>
    <row r="102" spans="1:31">
      <c r="A102" s="5">
        <v>100090</v>
      </c>
      <c r="B102" s="6">
        <v>9182</v>
      </c>
      <c r="C102" s="15">
        <v>6353</v>
      </c>
      <c r="D102" s="6" t="s">
        <v>32</v>
      </c>
      <c r="E102" s="6" t="s">
        <v>188</v>
      </c>
      <c r="F102" s="6" t="s">
        <v>34</v>
      </c>
      <c r="G102" s="6" t="s">
        <v>189</v>
      </c>
      <c r="H102" s="7" t="s">
        <v>36</v>
      </c>
      <c r="I102" s="8">
        <v>45032</v>
      </c>
      <c r="J102" s="46" t="str">
        <f>TEXT(Tabla1[[#This Row],[FECHA EVENTO]],"dddd")</f>
        <v>domingo</v>
      </c>
      <c r="K102" s="9" t="str">
        <f>TEXT(Tabla1[[#This Row],[FECHA EVENTO]], "[$-es-ES]mmmm")</f>
        <v>abril</v>
      </c>
      <c r="L102" s="9">
        <f>YEAR(Tabla1[[#This Row],[FECHA EVENTO]])</f>
        <v>2023</v>
      </c>
      <c r="M102" s="47">
        <v>0.1527314814814815</v>
      </c>
      <c r="N102" s="12">
        <f>HOUR(Tabla1[[#This Row],[HORA]])</f>
        <v>3</v>
      </c>
      <c r="O102" s="12">
        <v>39</v>
      </c>
      <c r="P102" s="12">
        <v>56</v>
      </c>
      <c r="Q102" s="10">
        <v>0.15300925925925926</v>
      </c>
      <c r="R102" s="10">
        <v>0.51180555555555551</v>
      </c>
      <c r="S102" s="10">
        <f t="shared" si="2"/>
        <v>2.7777777777776569E-4</v>
      </c>
      <c r="T102" s="59">
        <f t="shared" si="3"/>
        <v>0.35879629629629628</v>
      </c>
      <c r="U102" s="12" t="s">
        <v>41</v>
      </c>
      <c r="V102" s="7" t="s">
        <v>38</v>
      </c>
      <c r="W102" s="7" t="s">
        <v>54</v>
      </c>
      <c r="X102" s="7" t="s">
        <v>49</v>
      </c>
      <c r="Y102" s="37">
        <v>254960000</v>
      </c>
      <c r="Z102" s="41">
        <v>0</v>
      </c>
      <c r="AA102" s="12" t="s">
        <v>41</v>
      </c>
      <c r="AB102" s="12" t="s">
        <v>42</v>
      </c>
      <c r="AC102" s="12"/>
      <c r="AD102" s="36" t="s">
        <v>43</v>
      </c>
      <c r="AE102" s="13"/>
    </row>
    <row r="103" spans="1:31">
      <c r="A103" s="5">
        <v>100091</v>
      </c>
      <c r="B103" s="6">
        <v>1033</v>
      </c>
      <c r="C103" s="15">
        <v>33</v>
      </c>
      <c r="D103" s="6" t="s">
        <v>39</v>
      </c>
      <c r="E103" s="6" t="s">
        <v>39</v>
      </c>
      <c r="F103" s="6" t="s">
        <v>39</v>
      </c>
      <c r="G103" s="6" t="s">
        <v>190</v>
      </c>
      <c r="H103" s="7" t="s">
        <v>47</v>
      </c>
      <c r="I103" s="8">
        <v>45035</v>
      </c>
      <c r="J103" s="46" t="str">
        <f>TEXT(Tabla1[[#This Row],[FECHA EVENTO]],"dddd")</f>
        <v>miércoles</v>
      </c>
      <c r="K103" s="9" t="str">
        <f>TEXT(Tabla1[[#This Row],[FECHA EVENTO]], "[$-es-ES]mmmm")</f>
        <v>abril</v>
      </c>
      <c r="L103" s="9">
        <f>YEAR(Tabla1[[#This Row],[FECHA EVENTO]])</f>
        <v>2023</v>
      </c>
      <c r="M103" s="47"/>
      <c r="N103" s="54">
        <f>HOUR(Tabla1[[#This Row],[HORA]])</f>
        <v>0</v>
      </c>
      <c r="O103" s="54"/>
      <c r="P103" s="54"/>
      <c r="Q103" s="10">
        <v>0.51250000000000007</v>
      </c>
      <c r="R103" s="10">
        <v>0.52083333333333337</v>
      </c>
      <c r="S103" s="10">
        <f t="shared" si="2"/>
        <v>0.51250000000000007</v>
      </c>
      <c r="T103" s="59">
        <f t="shared" si="3"/>
        <v>8.3333333333333037E-3</v>
      </c>
      <c r="U103" s="12" t="s">
        <v>37</v>
      </c>
      <c r="V103" s="7" t="s">
        <v>71</v>
      </c>
      <c r="W103" s="7" t="s">
        <v>39</v>
      </c>
      <c r="X103" s="7" t="s">
        <v>71</v>
      </c>
      <c r="Y103" s="37">
        <v>0</v>
      </c>
      <c r="Z103" s="40">
        <v>13782797</v>
      </c>
      <c r="AA103" s="12" t="s">
        <v>41</v>
      </c>
      <c r="AB103" s="12" t="s">
        <v>42</v>
      </c>
      <c r="AC103" s="12" t="s">
        <v>42</v>
      </c>
      <c r="AD103" s="36" t="s">
        <v>43</v>
      </c>
      <c r="AE103" s="13" t="s">
        <v>191</v>
      </c>
    </row>
    <row r="104" spans="1:31">
      <c r="A104" s="5">
        <v>100092</v>
      </c>
      <c r="B104" s="6">
        <v>1232</v>
      </c>
      <c r="C104" s="15">
        <v>9760</v>
      </c>
      <c r="D104" s="6" t="s">
        <v>32</v>
      </c>
      <c r="E104" s="6" t="s">
        <v>76</v>
      </c>
      <c r="F104" s="6" t="s">
        <v>34</v>
      </c>
      <c r="G104" s="6" t="s">
        <v>192</v>
      </c>
      <c r="H104" s="7" t="s">
        <v>47</v>
      </c>
      <c r="I104" s="8">
        <v>45053</v>
      </c>
      <c r="J104" s="46" t="str">
        <f>TEXT(Tabla1[[#This Row],[FECHA EVENTO]],"dddd")</f>
        <v>domingo</v>
      </c>
      <c r="K104" s="9" t="str">
        <f>TEXT(Tabla1[[#This Row],[FECHA EVENTO]], "[$-es-ES]mmmm")</f>
        <v>mayo</v>
      </c>
      <c r="L104" s="9">
        <f>YEAR(Tabla1[[#This Row],[FECHA EVENTO]])</f>
        <v>2023</v>
      </c>
      <c r="M104" s="47"/>
      <c r="N104" s="54">
        <f>HOUR(Tabla1[[#This Row],[HORA]])</f>
        <v>0</v>
      </c>
      <c r="O104" s="54"/>
      <c r="P104" s="54"/>
      <c r="Q104" s="10"/>
      <c r="R104" s="10"/>
      <c r="S104" s="10">
        <f t="shared" si="2"/>
        <v>0</v>
      </c>
      <c r="T104" s="59">
        <f t="shared" si="3"/>
        <v>0</v>
      </c>
      <c r="U104" s="12" t="s">
        <v>41</v>
      </c>
      <c r="V104" s="7" t="s">
        <v>38</v>
      </c>
      <c r="W104" s="7" t="s">
        <v>54</v>
      </c>
      <c r="X104" s="7" t="s">
        <v>49</v>
      </c>
      <c r="Y104" s="37">
        <v>0</v>
      </c>
      <c r="Z104" s="41">
        <v>0</v>
      </c>
      <c r="AA104" s="12" t="s">
        <v>41</v>
      </c>
      <c r="AB104" s="12" t="s">
        <v>42</v>
      </c>
      <c r="AC104" s="12" t="s">
        <v>69</v>
      </c>
      <c r="AD104" s="36" t="s">
        <v>43</v>
      </c>
      <c r="AE104" s="13" t="s">
        <v>193</v>
      </c>
    </row>
    <row r="105" spans="1:31">
      <c r="A105" s="5">
        <v>100093</v>
      </c>
      <c r="B105" s="6">
        <v>1096</v>
      </c>
      <c r="C105" s="15">
        <v>96</v>
      </c>
      <c r="D105" s="6" t="s">
        <v>39</v>
      </c>
      <c r="E105" s="6" t="s">
        <v>39</v>
      </c>
      <c r="F105" s="6" t="s">
        <v>39</v>
      </c>
      <c r="G105" s="6" t="s">
        <v>194</v>
      </c>
      <c r="H105" s="7" t="s">
        <v>53</v>
      </c>
      <c r="I105" s="8">
        <v>45082</v>
      </c>
      <c r="J105" s="46" t="str">
        <f>TEXT(Tabla1[[#This Row],[FECHA EVENTO]],"dddd")</f>
        <v>lunes</v>
      </c>
      <c r="K105" s="9" t="str">
        <f>TEXT(Tabla1[[#This Row],[FECHA EVENTO]], "[$-es-ES]mmmm")</f>
        <v>junio</v>
      </c>
      <c r="L105" s="9">
        <f>YEAR(Tabla1[[#This Row],[FECHA EVENTO]])</f>
        <v>2023</v>
      </c>
      <c r="M105" s="47">
        <v>3.2812500000000001E-2</v>
      </c>
      <c r="N105" s="12">
        <f>HOUR(Tabla1[[#This Row],[HORA]])</f>
        <v>0</v>
      </c>
      <c r="O105" s="12">
        <v>47</v>
      </c>
      <c r="P105" s="12">
        <v>15</v>
      </c>
      <c r="Q105" s="10">
        <v>3.2916666666666664E-2</v>
      </c>
      <c r="R105" s="10">
        <v>6.7303240740740733E-2</v>
      </c>
      <c r="S105" s="10">
        <f t="shared" si="2"/>
        <v>1.0416666666666213E-4</v>
      </c>
      <c r="T105" s="59">
        <f t="shared" si="3"/>
        <v>3.4386574074074069E-2</v>
      </c>
      <c r="U105" s="12" t="s">
        <v>37</v>
      </c>
      <c r="V105" s="7" t="s">
        <v>38</v>
      </c>
      <c r="W105" s="7" t="s">
        <v>39</v>
      </c>
      <c r="X105" s="7" t="s">
        <v>40</v>
      </c>
      <c r="Y105" s="37">
        <v>0</v>
      </c>
      <c r="Z105" s="41">
        <v>0</v>
      </c>
      <c r="AA105" s="12" t="s">
        <v>41</v>
      </c>
      <c r="AB105" s="12" t="s">
        <v>42</v>
      </c>
      <c r="AC105" s="12" t="s">
        <v>69</v>
      </c>
      <c r="AD105" s="36" t="s">
        <v>43</v>
      </c>
      <c r="AE105" s="13" t="s">
        <v>195</v>
      </c>
    </row>
    <row r="106" spans="1:31">
      <c r="A106" s="5">
        <v>100094</v>
      </c>
      <c r="B106" s="6">
        <v>1709</v>
      </c>
      <c r="C106" s="15">
        <v>709</v>
      </c>
      <c r="D106" s="6" t="s">
        <v>39</v>
      </c>
      <c r="E106" s="6" t="s">
        <v>39</v>
      </c>
      <c r="F106" s="6" t="s">
        <v>39</v>
      </c>
      <c r="G106" s="6" t="s">
        <v>196</v>
      </c>
      <c r="H106" s="7" t="s">
        <v>53</v>
      </c>
      <c r="I106" s="8">
        <v>45102</v>
      </c>
      <c r="J106" s="46" t="str">
        <f>TEXT(Tabla1[[#This Row],[FECHA EVENTO]],"dddd")</f>
        <v>domingo</v>
      </c>
      <c r="K106" s="9" t="str">
        <f>TEXT(Tabla1[[#This Row],[FECHA EVENTO]], "[$-es-ES]mmmm")</f>
        <v>junio</v>
      </c>
      <c r="L106" s="9">
        <f>YEAR(Tabla1[[#This Row],[FECHA EVENTO]])</f>
        <v>2023</v>
      </c>
      <c r="M106" s="47">
        <v>0.80015046296296299</v>
      </c>
      <c r="N106" s="12">
        <f>HOUR(Tabla1[[#This Row],[HORA]])</f>
        <v>19</v>
      </c>
      <c r="O106" s="12">
        <v>19</v>
      </c>
      <c r="P106" s="12">
        <v>13</v>
      </c>
      <c r="Q106" s="10">
        <v>0.80061342592592588</v>
      </c>
      <c r="R106" s="10">
        <v>0.80969907407407404</v>
      </c>
      <c r="S106" s="10">
        <f t="shared" si="2"/>
        <v>4.629629629628873E-4</v>
      </c>
      <c r="T106" s="59">
        <f t="shared" si="3"/>
        <v>9.0856481481481621E-3</v>
      </c>
      <c r="U106" s="12" t="s">
        <v>37</v>
      </c>
      <c r="V106" s="7" t="s">
        <v>38</v>
      </c>
      <c r="W106" s="7" t="s">
        <v>39</v>
      </c>
      <c r="X106" s="7" t="s">
        <v>40</v>
      </c>
      <c r="Y106" s="37">
        <v>0</v>
      </c>
      <c r="Z106" s="40">
        <v>93000000</v>
      </c>
      <c r="AA106" s="12" t="s">
        <v>41</v>
      </c>
      <c r="AB106" s="12" t="s">
        <v>42</v>
      </c>
      <c r="AC106" s="12" t="s">
        <v>42</v>
      </c>
      <c r="AD106" s="36" t="s">
        <v>43</v>
      </c>
      <c r="AE106" s="13" t="s">
        <v>195</v>
      </c>
    </row>
    <row r="107" spans="1:31">
      <c r="A107" s="5">
        <v>100095</v>
      </c>
      <c r="B107" s="6">
        <v>1318</v>
      </c>
      <c r="C107" s="6">
        <v>318</v>
      </c>
      <c r="D107" s="6" t="s">
        <v>39</v>
      </c>
      <c r="E107" s="6" t="s">
        <v>39</v>
      </c>
      <c r="F107" s="6" t="s">
        <v>39</v>
      </c>
      <c r="G107" s="6" t="s">
        <v>197</v>
      </c>
      <c r="H107" s="7" t="s">
        <v>53</v>
      </c>
      <c r="I107" s="8">
        <v>45170</v>
      </c>
      <c r="J107" s="46" t="str">
        <f>TEXT(Tabla1[[#This Row],[FECHA EVENTO]],"dddd")</f>
        <v>viernes</v>
      </c>
      <c r="K107" s="9" t="str">
        <f>TEXT(Tabla1[[#This Row],[FECHA EVENTO]], "[$-es-ES]mmmm")</f>
        <v>septiembre</v>
      </c>
      <c r="L107" s="9">
        <f>YEAR(Tabla1[[#This Row],[FECHA EVENTO]])</f>
        <v>2023</v>
      </c>
      <c r="M107" s="47">
        <v>6.6307870370370378E-2</v>
      </c>
      <c r="N107" s="12">
        <f>HOUR(Tabla1[[#This Row],[HORA]])</f>
        <v>1</v>
      </c>
      <c r="O107" s="12">
        <v>35</v>
      </c>
      <c r="P107" s="12">
        <v>29</v>
      </c>
      <c r="Q107" s="10">
        <v>6.6481481481481489E-2</v>
      </c>
      <c r="R107" s="10">
        <v>7.013888888888889E-2</v>
      </c>
      <c r="S107" s="10">
        <f t="shared" si="2"/>
        <v>1.7361111111111049E-4</v>
      </c>
      <c r="T107" s="59">
        <f t="shared" si="3"/>
        <v>3.6574074074074009E-3</v>
      </c>
      <c r="U107" s="12" t="s">
        <v>41</v>
      </c>
      <c r="V107" s="7" t="s">
        <v>38</v>
      </c>
      <c r="W107" s="7" t="s">
        <v>32</v>
      </c>
      <c r="X107" s="7" t="s">
        <v>38</v>
      </c>
      <c r="Y107" s="37">
        <v>5361054293</v>
      </c>
      <c r="Z107" s="41">
        <v>0</v>
      </c>
      <c r="AA107" s="12" t="s">
        <v>55</v>
      </c>
      <c r="AB107" s="12" t="s">
        <v>42</v>
      </c>
      <c r="AC107" s="12" t="s">
        <v>37</v>
      </c>
      <c r="AD107" s="36" t="s">
        <v>43</v>
      </c>
      <c r="AE107" s="13" t="s">
        <v>198</v>
      </c>
    </row>
    <row r="108" spans="1:31">
      <c r="A108" s="5">
        <v>100096</v>
      </c>
      <c r="B108" s="6">
        <v>8669</v>
      </c>
      <c r="C108" s="6">
        <v>3335</v>
      </c>
      <c r="D108" s="6" t="s">
        <v>32</v>
      </c>
      <c r="E108" s="6" t="s">
        <v>199</v>
      </c>
      <c r="F108" s="6" t="s">
        <v>57</v>
      </c>
      <c r="G108" s="6" t="s">
        <v>200</v>
      </c>
      <c r="H108" s="7" t="s">
        <v>36</v>
      </c>
      <c r="I108" s="8">
        <v>45176</v>
      </c>
      <c r="J108" s="46" t="str">
        <f>TEXT(Tabla1[[#This Row],[FECHA EVENTO]],"dddd")</f>
        <v>jueves</v>
      </c>
      <c r="K108" s="9" t="str">
        <f>TEXT(Tabla1[[#This Row],[FECHA EVENTO]], "[$-es-ES]mmmm")</f>
        <v>septiembre</v>
      </c>
      <c r="L108" s="9">
        <f>YEAR(Tabla1[[#This Row],[FECHA EVENTO]])</f>
        <v>2023</v>
      </c>
      <c r="M108" s="47">
        <v>0.19035879629629629</v>
      </c>
      <c r="N108" s="12">
        <f>HOUR(Tabla1[[#This Row],[HORA]])</f>
        <v>4</v>
      </c>
      <c r="O108" s="12">
        <v>34</v>
      </c>
      <c r="P108" s="12">
        <v>7</v>
      </c>
      <c r="Q108" s="10">
        <v>0.19042824074074075</v>
      </c>
      <c r="R108" s="10">
        <v>0.20208333333333331</v>
      </c>
      <c r="S108" s="10">
        <f t="shared" si="2"/>
        <v>6.94444444444553E-5</v>
      </c>
      <c r="T108" s="59">
        <f t="shared" si="3"/>
        <v>1.1655092592592564E-2</v>
      </c>
      <c r="U108" s="12" t="s">
        <v>41</v>
      </c>
      <c r="V108" s="7" t="s">
        <v>38</v>
      </c>
      <c r="W108" s="7" t="s">
        <v>32</v>
      </c>
      <c r="X108" s="7" t="s">
        <v>75</v>
      </c>
      <c r="Y108" s="37">
        <v>0</v>
      </c>
      <c r="Z108" s="41">
        <v>0</v>
      </c>
      <c r="AA108" s="12" t="s">
        <v>41</v>
      </c>
      <c r="AB108" s="12" t="s">
        <v>42</v>
      </c>
      <c r="AC108" s="12" t="s">
        <v>69</v>
      </c>
      <c r="AD108" s="36" t="s">
        <v>43</v>
      </c>
      <c r="AE108" s="13"/>
    </row>
    <row r="109" spans="1:31">
      <c r="A109" s="5">
        <v>100097</v>
      </c>
      <c r="B109" s="6">
        <v>1033</v>
      </c>
      <c r="C109" s="6">
        <v>33</v>
      </c>
      <c r="D109" s="6" t="s">
        <v>39</v>
      </c>
      <c r="E109" s="6" t="s">
        <v>39</v>
      </c>
      <c r="F109" s="6" t="s">
        <v>39</v>
      </c>
      <c r="G109" s="6" t="s">
        <v>190</v>
      </c>
      <c r="H109" s="7" t="s">
        <v>47</v>
      </c>
      <c r="I109" s="8">
        <v>45203</v>
      </c>
      <c r="J109" s="46" t="str">
        <f>TEXT(Tabla1[[#This Row],[FECHA EVENTO]],"dddd")</f>
        <v>miércoles</v>
      </c>
      <c r="K109" s="9" t="str">
        <f>TEXT(Tabla1[[#This Row],[FECHA EVENTO]], "[$-es-ES]mmmm")</f>
        <v>octubre</v>
      </c>
      <c r="L109" s="9">
        <f>YEAR(Tabla1[[#This Row],[FECHA EVENTO]])</f>
        <v>2023</v>
      </c>
      <c r="M109" s="47">
        <v>0.52258101851851857</v>
      </c>
      <c r="N109" s="12">
        <f>HOUR(Tabla1[[#This Row],[HORA]])</f>
        <v>12</v>
      </c>
      <c r="O109" s="12">
        <v>32</v>
      </c>
      <c r="P109" s="12">
        <v>31</v>
      </c>
      <c r="Q109" s="10"/>
      <c r="R109" s="10"/>
      <c r="S109" s="10"/>
      <c r="T109" s="59">
        <f>R109-Q109</f>
        <v>0</v>
      </c>
      <c r="U109" s="12" t="s">
        <v>37</v>
      </c>
      <c r="V109" s="7" t="s">
        <v>71</v>
      </c>
      <c r="W109" s="7" t="s">
        <v>39</v>
      </c>
      <c r="X109" s="7" t="s">
        <v>71</v>
      </c>
      <c r="Y109" s="37">
        <v>0</v>
      </c>
      <c r="Z109" s="41">
        <v>0</v>
      </c>
      <c r="AA109" s="12" t="s">
        <v>41</v>
      </c>
      <c r="AB109" s="12" t="s">
        <v>42</v>
      </c>
      <c r="AC109" s="12"/>
      <c r="AD109" s="36" t="s">
        <v>43</v>
      </c>
      <c r="AE109" s="13"/>
    </row>
    <row r="110" spans="1:31">
      <c r="A110" s="5">
        <v>100098</v>
      </c>
      <c r="B110" s="6">
        <v>1057</v>
      </c>
      <c r="C110" s="6">
        <v>507</v>
      </c>
      <c r="D110" s="6" t="s">
        <v>39</v>
      </c>
      <c r="E110" s="6" t="s">
        <v>39</v>
      </c>
      <c r="F110" s="6" t="s">
        <v>39</v>
      </c>
      <c r="G110" s="6" t="s">
        <v>201</v>
      </c>
      <c r="H110" s="7" t="s">
        <v>53</v>
      </c>
      <c r="I110" s="8">
        <v>45203</v>
      </c>
      <c r="J110" s="46" t="str">
        <f>TEXT(Tabla1[[#This Row],[FECHA EVENTO]],"dddd")</f>
        <v>miércoles</v>
      </c>
      <c r="K110" s="9" t="str">
        <f>TEXT(Tabla1[[#This Row],[FECHA EVENTO]], "[$-es-ES]mmmm")</f>
        <v>octubre</v>
      </c>
      <c r="L110" s="9">
        <f>YEAR(Tabla1[[#This Row],[FECHA EVENTO]])</f>
        <v>2023</v>
      </c>
      <c r="M110" s="48">
        <v>0.6791666666666667</v>
      </c>
      <c r="N110" s="12">
        <f>HOUR(Tabla1[[#This Row],[HORA]])</f>
        <v>16</v>
      </c>
      <c r="O110" s="12">
        <v>18</v>
      </c>
      <c r="P110" s="12">
        <v>0</v>
      </c>
      <c r="Q110" s="7"/>
      <c r="R110" s="7"/>
      <c r="S110" s="10"/>
      <c r="T110" s="59">
        <f>R110-Q110</f>
        <v>0</v>
      </c>
      <c r="U110" s="12" t="s">
        <v>37</v>
      </c>
      <c r="V110" s="7" t="s">
        <v>71</v>
      </c>
      <c r="W110" s="7" t="s">
        <v>39</v>
      </c>
      <c r="X110" s="7" t="s">
        <v>71</v>
      </c>
      <c r="Y110" s="37">
        <v>0</v>
      </c>
      <c r="Z110" s="42">
        <v>197000</v>
      </c>
      <c r="AA110" s="12" t="s">
        <v>41</v>
      </c>
      <c r="AB110" s="12" t="s">
        <v>42</v>
      </c>
      <c r="AC110" s="12" t="s">
        <v>42</v>
      </c>
      <c r="AD110" s="36" t="s">
        <v>43</v>
      </c>
      <c r="AE110" s="13" t="s">
        <v>202</v>
      </c>
    </row>
    <row r="111" spans="1:31">
      <c r="A111" s="5">
        <v>100099</v>
      </c>
      <c r="B111" s="6">
        <v>1481</v>
      </c>
      <c r="C111" s="6">
        <v>481</v>
      </c>
      <c r="D111" s="6" t="s">
        <v>39</v>
      </c>
      <c r="E111" s="6" t="s">
        <v>39</v>
      </c>
      <c r="F111" s="6" t="s">
        <v>39</v>
      </c>
      <c r="G111" s="6" t="s">
        <v>203</v>
      </c>
      <c r="H111" s="7" t="s">
        <v>53</v>
      </c>
      <c r="I111" s="8">
        <v>45211</v>
      </c>
      <c r="J111" s="46" t="str">
        <f>TEXT(Tabla1[[#This Row],[FECHA EVENTO]],"dddd")</f>
        <v>jueves</v>
      </c>
      <c r="K111" s="9" t="str">
        <f>TEXT(Tabla1[[#This Row],[FECHA EVENTO]], "[$-es-ES]mmmm")</f>
        <v>octubre</v>
      </c>
      <c r="L111" s="9">
        <f>YEAR(Tabla1[[#This Row],[FECHA EVENTO]])</f>
        <v>2023</v>
      </c>
      <c r="M111" s="47">
        <v>0.36471064814814813</v>
      </c>
      <c r="N111" s="12">
        <f>HOUR(Tabla1[[#This Row],[HORA]])</f>
        <v>8</v>
      </c>
      <c r="O111" s="12">
        <v>45</v>
      </c>
      <c r="P111" s="12">
        <v>11</v>
      </c>
      <c r="Q111" s="10">
        <v>0.36475694444444445</v>
      </c>
      <c r="R111" s="10">
        <v>0.375</v>
      </c>
      <c r="S111" s="10">
        <f t="shared" ref="S111:S119" si="4">Q111-M111</f>
        <v>4.6296296296322037E-5</v>
      </c>
      <c r="T111" s="59">
        <f>R111-Q111</f>
        <v>1.0243055555555547E-2</v>
      </c>
      <c r="U111" s="12" t="s">
        <v>37</v>
      </c>
      <c r="V111" s="7" t="s">
        <v>71</v>
      </c>
      <c r="W111" s="7" t="s">
        <v>39</v>
      </c>
      <c r="X111" s="7" t="s">
        <v>71</v>
      </c>
      <c r="Y111" s="37">
        <v>0</v>
      </c>
      <c r="Z111" s="42">
        <v>3860557</v>
      </c>
      <c r="AA111" s="12" t="s">
        <v>41</v>
      </c>
      <c r="AB111" s="12" t="s">
        <v>42</v>
      </c>
      <c r="AC111" s="12" t="s">
        <v>42</v>
      </c>
      <c r="AD111" s="36" t="s">
        <v>43</v>
      </c>
      <c r="AE111" s="13"/>
    </row>
    <row r="112" spans="1:31">
      <c r="A112" s="5">
        <v>100100</v>
      </c>
      <c r="B112" s="6">
        <v>1874</v>
      </c>
      <c r="C112" s="6">
        <v>874</v>
      </c>
      <c r="D112" s="6" t="s">
        <v>39</v>
      </c>
      <c r="E112" s="6" t="s">
        <v>39</v>
      </c>
      <c r="F112" s="6" t="s">
        <v>39</v>
      </c>
      <c r="G112" s="6" t="s">
        <v>204</v>
      </c>
      <c r="H112" s="7" t="s">
        <v>87</v>
      </c>
      <c r="I112" s="8">
        <v>45230</v>
      </c>
      <c r="J112" s="46" t="str">
        <f>TEXT(Tabla1[[#This Row],[FECHA EVENTO]],"dddd")</f>
        <v>martes</v>
      </c>
      <c r="K112" s="9" t="str">
        <f>TEXT(Tabla1[[#This Row],[FECHA EVENTO]], "[$-es-ES]mmmm")</f>
        <v>octubre</v>
      </c>
      <c r="L112" s="9">
        <f>YEAR(Tabla1[[#This Row],[FECHA EVENTO]])</f>
        <v>2023</v>
      </c>
      <c r="M112" s="47">
        <v>0.14719907407407407</v>
      </c>
      <c r="N112" s="12">
        <f>HOUR(Tabla1[[#This Row],[HORA]])</f>
        <v>3</v>
      </c>
      <c r="O112" s="12">
        <v>31</v>
      </c>
      <c r="P112" s="12">
        <v>58</v>
      </c>
      <c r="Q112" s="10">
        <v>0.14776620370370372</v>
      </c>
      <c r="R112" s="10"/>
      <c r="S112" s="10">
        <f t="shared" si="4"/>
        <v>5.6712962962965352E-4</v>
      </c>
      <c r="T112" s="59"/>
      <c r="U112" s="12" t="s">
        <v>37</v>
      </c>
      <c r="V112" s="7" t="s">
        <v>38</v>
      </c>
      <c r="W112" s="7" t="s">
        <v>62</v>
      </c>
      <c r="X112" s="7" t="s">
        <v>49</v>
      </c>
      <c r="Y112" s="37">
        <v>0</v>
      </c>
      <c r="Z112" s="41">
        <v>0</v>
      </c>
      <c r="AA112" s="12"/>
      <c r="AB112" s="12" t="s">
        <v>42</v>
      </c>
      <c r="AC112" s="12"/>
      <c r="AD112" s="36" t="s">
        <v>43</v>
      </c>
      <c r="AE112" s="13" t="s">
        <v>205</v>
      </c>
    </row>
    <row r="113" spans="1:31">
      <c r="A113" s="5">
        <v>100101</v>
      </c>
      <c r="B113" s="6">
        <v>1778</v>
      </c>
      <c r="C113" s="6">
        <v>778</v>
      </c>
      <c r="D113" s="6" t="s">
        <v>39</v>
      </c>
      <c r="E113" s="6" t="s">
        <v>39</v>
      </c>
      <c r="F113" s="6" t="s">
        <v>39</v>
      </c>
      <c r="G113" s="6" t="s">
        <v>206</v>
      </c>
      <c r="H113" s="7" t="s">
        <v>87</v>
      </c>
      <c r="I113" s="8">
        <v>45232</v>
      </c>
      <c r="J113" s="46" t="str">
        <f>TEXT(Tabla1[[#This Row],[FECHA EVENTO]],"dddd")</f>
        <v>jueves</v>
      </c>
      <c r="K113" s="9" t="str">
        <f>TEXT(Tabla1[[#This Row],[FECHA EVENTO]], "[$-es-ES]mmmm")</f>
        <v>noviembre</v>
      </c>
      <c r="L113" s="9">
        <f>YEAR(Tabla1[[#This Row],[FECHA EVENTO]])</f>
        <v>2023</v>
      </c>
      <c r="M113" s="47">
        <v>0.4098148148148148</v>
      </c>
      <c r="N113" s="12">
        <f>HOUR(Tabla1[[#This Row],[HORA]])</f>
        <v>9</v>
      </c>
      <c r="O113" s="12">
        <v>50</v>
      </c>
      <c r="P113" s="12">
        <v>8</v>
      </c>
      <c r="Q113" s="10">
        <v>0.41248842592592588</v>
      </c>
      <c r="R113" s="10">
        <v>0.41317129629629629</v>
      </c>
      <c r="S113" s="10">
        <f t="shared" si="4"/>
        <v>2.673611111111085E-3</v>
      </c>
      <c r="T113" s="59">
        <f>R113-Q113</f>
        <v>6.828703703704031E-4</v>
      </c>
      <c r="U113" s="12" t="s">
        <v>37</v>
      </c>
      <c r="V113" s="7" t="s">
        <v>71</v>
      </c>
      <c r="W113" s="7" t="s">
        <v>39</v>
      </c>
      <c r="X113" s="7" t="s">
        <v>71</v>
      </c>
      <c r="Y113" s="37">
        <v>0</v>
      </c>
      <c r="Z113" s="42">
        <v>4150000</v>
      </c>
      <c r="AA113" s="12" t="s">
        <v>41</v>
      </c>
      <c r="AB113" s="12" t="s">
        <v>42</v>
      </c>
      <c r="AC113" s="12" t="s">
        <v>42</v>
      </c>
      <c r="AD113" s="36" t="s">
        <v>43</v>
      </c>
      <c r="AE113" s="13" t="s">
        <v>207</v>
      </c>
    </row>
    <row r="114" spans="1:31">
      <c r="A114" s="5">
        <v>100102</v>
      </c>
      <c r="B114" s="6">
        <v>8125</v>
      </c>
      <c r="C114" s="6">
        <v>4913</v>
      </c>
      <c r="D114" s="6" t="s">
        <v>32</v>
      </c>
      <c r="E114" s="6" t="s">
        <v>208</v>
      </c>
      <c r="F114" s="6" t="s">
        <v>34</v>
      </c>
      <c r="G114" s="6" t="s">
        <v>209</v>
      </c>
      <c r="H114" s="7" t="s">
        <v>47</v>
      </c>
      <c r="I114" s="8">
        <v>45247</v>
      </c>
      <c r="J114" s="46" t="str">
        <f>TEXT(Tabla1[[#This Row],[FECHA EVENTO]],"dddd")</f>
        <v>viernes</v>
      </c>
      <c r="K114" s="9" t="str">
        <f>TEXT(Tabla1[[#This Row],[FECHA EVENTO]], "[$-es-ES]mmmm")</f>
        <v>noviembre</v>
      </c>
      <c r="L114" s="9">
        <f>YEAR(Tabla1[[#This Row],[FECHA EVENTO]])</f>
        <v>2023</v>
      </c>
      <c r="M114" s="49">
        <v>0.22354166666666667</v>
      </c>
      <c r="N114" s="56">
        <f>HOUR(Tabla1[[#This Row],[HORA]])</f>
        <v>5</v>
      </c>
      <c r="O114" s="56">
        <v>21</v>
      </c>
      <c r="P114" s="56">
        <v>54</v>
      </c>
      <c r="Q114" s="16">
        <v>0.22363425925925925</v>
      </c>
      <c r="R114" s="7"/>
      <c r="S114" s="10">
        <f t="shared" si="4"/>
        <v>9.2592592592588563E-5</v>
      </c>
      <c r="T114" s="59"/>
      <c r="U114" s="12" t="s">
        <v>152</v>
      </c>
      <c r="V114" s="7" t="s">
        <v>38</v>
      </c>
      <c r="W114" s="7" t="s">
        <v>54</v>
      </c>
      <c r="X114" s="7" t="s">
        <v>49</v>
      </c>
      <c r="Y114" s="37">
        <v>0</v>
      </c>
      <c r="Z114" s="41">
        <v>0</v>
      </c>
      <c r="AA114" s="12"/>
      <c r="AB114" s="12" t="s">
        <v>42</v>
      </c>
      <c r="AC114" s="12"/>
      <c r="AD114" s="36" t="s">
        <v>43</v>
      </c>
      <c r="AE114" s="13"/>
    </row>
    <row r="115" spans="1:31">
      <c r="A115" s="5">
        <v>100103</v>
      </c>
      <c r="B115" s="6">
        <v>7409</v>
      </c>
      <c r="C115" s="6">
        <v>7505</v>
      </c>
      <c r="D115" s="6" t="s">
        <v>32</v>
      </c>
      <c r="E115" s="6" t="s">
        <v>188</v>
      </c>
      <c r="F115" s="6" t="s">
        <v>81</v>
      </c>
      <c r="G115" s="6" t="s">
        <v>210</v>
      </c>
      <c r="H115" s="7" t="s">
        <v>47</v>
      </c>
      <c r="I115" s="8">
        <v>45260</v>
      </c>
      <c r="J115" s="46" t="str">
        <f>TEXT(Tabla1[[#This Row],[FECHA EVENTO]],"dddd")</f>
        <v>jueves</v>
      </c>
      <c r="K115" s="9" t="str">
        <f>TEXT(Tabla1[[#This Row],[FECHA EVENTO]], "[$-es-ES]mmmm")</f>
        <v>noviembre</v>
      </c>
      <c r="L115" s="9">
        <f>YEAR(Tabla1[[#This Row],[FECHA EVENTO]])</f>
        <v>2023</v>
      </c>
      <c r="M115" s="47">
        <v>0.92138888888888892</v>
      </c>
      <c r="N115" s="12">
        <f>HOUR(Tabla1[[#This Row],[HORA]])</f>
        <v>22</v>
      </c>
      <c r="O115" s="12">
        <v>6</v>
      </c>
      <c r="P115" s="12">
        <v>48</v>
      </c>
      <c r="Q115" s="10">
        <v>0.92145833333333327</v>
      </c>
      <c r="R115" s="11">
        <v>0.9277777777777777</v>
      </c>
      <c r="S115" s="10">
        <f t="shared" si="4"/>
        <v>6.9444444444344278E-5</v>
      </c>
      <c r="T115" s="59">
        <f>R115-Q115</f>
        <v>6.3194444444444331E-3</v>
      </c>
      <c r="U115" s="12" t="s">
        <v>41</v>
      </c>
      <c r="V115" s="7" t="s">
        <v>38</v>
      </c>
      <c r="W115" s="7" t="s">
        <v>32</v>
      </c>
      <c r="X115" s="7" t="s">
        <v>49</v>
      </c>
      <c r="Y115" s="37">
        <v>0</v>
      </c>
      <c r="Z115" s="41">
        <v>0</v>
      </c>
      <c r="AA115" s="12"/>
      <c r="AB115" s="12" t="s">
        <v>42</v>
      </c>
      <c r="AC115" s="12"/>
      <c r="AD115" s="36" t="s">
        <v>43</v>
      </c>
      <c r="AE115" s="13"/>
    </row>
    <row r="116" spans="1:31">
      <c r="A116" s="5">
        <v>100104</v>
      </c>
      <c r="B116" s="6">
        <v>7281</v>
      </c>
      <c r="C116" s="6">
        <v>8128</v>
      </c>
      <c r="D116" s="6" t="s">
        <v>32</v>
      </c>
      <c r="E116" s="6" t="s">
        <v>188</v>
      </c>
      <c r="F116" s="6" t="s">
        <v>211</v>
      </c>
      <c r="G116" s="6" t="s">
        <v>212</v>
      </c>
      <c r="H116" s="7" t="s">
        <v>53</v>
      </c>
      <c r="I116" s="8">
        <v>45378</v>
      </c>
      <c r="J116" s="46" t="str">
        <f>TEXT(Tabla1[[#This Row],[FECHA EVENTO]],"dddd")</f>
        <v>miércoles</v>
      </c>
      <c r="K116" s="9" t="str">
        <f>TEXT(Tabla1[[#This Row],[FECHA EVENTO]], "[$-es-ES]mmmm")</f>
        <v>marzo</v>
      </c>
      <c r="L116" s="9">
        <f>YEAR(Tabla1[[#This Row],[FECHA EVENTO]])</f>
        <v>2024</v>
      </c>
      <c r="M116" s="49">
        <v>5.46875E-2</v>
      </c>
      <c r="N116" s="56">
        <f>HOUR(Tabla1[[#This Row],[HORA]])</f>
        <v>1</v>
      </c>
      <c r="O116" s="56">
        <v>18</v>
      </c>
      <c r="P116" s="56">
        <v>45</v>
      </c>
      <c r="Q116" s="16">
        <v>5.486111111111111E-2</v>
      </c>
      <c r="R116" s="16">
        <v>9.375E-2</v>
      </c>
      <c r="S116" s="10">
        <f t="shared" si="4"/>
        <v>1.7361111111111049E-4</v>
      </c>
      <c r="T116" s="59">
        <f>R116-Q116</f>
        <v>3.888888888888889E-2</v>
      </c>
      <c r="U116" s="12" t="s">
        <v>37</v>
      </c>
      <c r="V116" s="7" t="s">
        <v>38</v>
      </c>
      <c r="W116" s="7" t="s">
        <v>54</v>
      </c>
      <c r="X116" s="7" t="s">
        <v>49</v>
      </c>
      <c r="Y116" s="37">
        <v>235280000</v>
      </c>
      <c r="Z116" s="41">
        <v>0</v>
      </c>
      <c r="AA116" s="12" t="s">
        <v>41</v>
      </c>
      <c r="AB116" s="12" t="s">
        <v>42</v>
      </c>
      <c r="AC116" s="12" t="s">
        <v>69</v>
      </c>
      <c r="AD116" s="36" t="s">
        <v>43</v>
      </c>
      <c r="AE116" s="13"/>
    </row>
    <row r="117" spans="1:31">
      <c r="A117" s="5">
        <v>100105</v>
      </c>
      <c r="B117" s="6">
        <v>8274</v>
      </c>
      <c r="C117" s="6">
        <v>4355</v>
      </c>
      <c r="D117" s="6" t="s">
        <v>32</v>
      </c>
      <c r="E117" s="6" t="s">
        <v>51</v>
      </c>
      <c r="F117" s="6" t="s">
        <v>211</v>
      </c>
      <c r="G117" s="6" t="s">
        <v>213</v>
      </c>
      <c r="H117" s="7" t="s">
        <v>130</v>
      </c>
      <c r="I117" s="8">
        <v>45427</v>
      </c>
      <c r="J117" s="46" t="str">
        <f>TEXT(Tabla1[[#This Row],[FECHA EVENTO]],"dddd")</f>
        <v>miércoles</v>
      </c>
      <c r="K117" s="9" t="str">
        <f>TEXT(Tabla1[[#This Row],[FECHA EVENTO]], "[$-es-ES]mmmm")</f>
        <v>mayo</v>
      </c>
      <c r="L117" s="9">
        <f>YEAR(Tabla1[[#This Row],[FECHA EVENTO]])</f>
        <v>2024</v>
      </c>
      <c r="M117" s="49"/>
      <c r="N117" s="55">
        <f>HOUR(Tabla1[[#This Row],[HORA]])</f>
        <v>0</v>
      </c>
      <c r="O117" s="55"/>
      <c r="P117" s="55"/>
      <c r="Q117" s="16">
        <v>0.65833333333333333</v>
      </c>
      <c r="R117" s="16"/>
      <c r="S117" s="10">
        <f t="shared" si="4"/>
        <v>0.65833333333333333</v>
      </c>
      <c r="T117" s="59"/>
      <c r="U117" s="12" t="s">
        <v>41</v>
      </c>
      <c r="V117" s="7" t="s">
        <v>38</v>
      </c>
      <c r="W117" s="7" t="s">
        <v>214</v>
      </c>
      <c r="X117" s="7" t="s">
        <v>49</v>
      </c>
      <c r="Y117" s="37">
        <v>0</v>
      </c>
      <c r="Z117" s="41">
        <v>0</v>
      </c>
      <c r="AA117" s="12" t="s">
        <v>41</v>
      </c>
      <c r="AB117" s="12" t="s">
        <v>42</v>
      </c>
      <c r="AC117" s="12"/>
      <c r="AD117" s="36" t="s">
        <v>43</v>
      </c>
      <c r="AE117" s="13" t="s">
        <v>215</v>
      </c>
    </row>
    <row r="118" spans="1:31">
      <c r="A118" s="5">
        <v>100106</v>
      </c>
      <c r="B118" s="6">
        <v>1821</v>
      </c>
      <c r="C118" s="6">
        <v>821</v>
      </c>
      <c r="D118" s="6" t="s">
        <v>39</v>
      </c>
      <c r="E118" s="6" t="s">
        <v>39</v>
      </c>
      <c r="F118" s="6" t="s">
        <v>39</v>
      </c>
      <c r="G118" s="6" t="s">
        <v>216</v>
      </c>
      <c r="H118" s="7" t="s">
        <v>87</v>
      </c>
      <c r="I118" s="8">
        <v>45428</v>
      </c>
      <c r="J118" s="46" t="str">
        <f>TEXT(Tabla1[[#This Row],[FECHA EVENTO]],"dddd")</f>
        <v>jueves</v>
      </c>
      <c r="K118" s="9" t="str">
        <f>TEXT(Tabla1[[#This Row],[FECHA EVENTO]], "[$-es-ES]mmmm")</f>
        <v>mayo</v>
      </c>
      <c r="L118" s="9">
        <f>YEAR(Tabla1[[#This Row],[FECHA EVENTO]])</f>
        <v>2024</v>
      </c>
      <c r="M118" s="49">
        <v>0.64340277777777777</v>
      </c>
      <c r="N118" s="56">
        <f>HOUR(Tabla1[[#This Row],[HORA]])</f>
        <v>15</v>
      </c>
      <c r="O118" s="56">
        <v>26</v>
      </c>
      <c r="P118" s="56">
        <v>30</v>
      </c>
      <c r="Q118" s="16">
        <v>0.64347222222222222</v>
      </c>
      <c r="R118" s="16">
        <v>0.65277777777777779</v>
      </c>
      <c r="S118" s="10">
        <f t="shared" si="4"/>
        <v>6.94444444444553E-5</v>
      </c>
      <c r="T118" s="59">
        <f>R118-Q118</f>
        <v>9.3055555555555669E-3</v>
      </c>
      <c r="U118" s="12" t="s">
        <v>37</v>
      </c>
      <c r="V118" s="7" t="s">
        <v>71</v>
      </c>
      <c r="W118" s="7" t="s">
        <v>39</v>
      </c>
      <c r="X118" s="7" t="s">
        <v>71</v>
      </c>
      <c r="Y118" s="37">
        <v>0</v>
      </c>
      <c r="Z118" s="40">
        <v>14275879</v>
      </c>
      <c r="AA118" s="12" t="s">
        <v>41</v>
      </c>
      <c r="AB118" s="12" t="s">
        <v>42</v>
      </c>
      <c r="AC118" s="12" t="s">
        <v>42</v>
      </c>
      <c r="AD118" s="36" t="s">
        <v>43</v>
      </c>
      <c r="AE118" s="13"/>
    </row>
    <row r="119" spans="1:31">
      <c r="A119" s="5">
        <v>100107</v>
      </c>
      <c r="B119" s="6">
        <v>1764</v>
      </c>
      <c r="C119" s="6">
        <v>764</v>
      </c>
      <c r="D119" s="6" t="s">
        <v>39</v>
      </c>
      <c r="E119" s="6" t="s">
        <v>39</v>
      </c>
      <c r="F119" s="6" t="s">
        <v>39</v>
      </c>
      <c r="G119" s="6" t="s">
        <v>217</v>
      </c>
      <c r="H119" s="7" t="s">
        <v>87</v>
      </c>
      <c r="I119" s="8">
        <v>45455</v>
      </c>
      <c r="J119" s="46" t="str">
        <f>TEXT(Tabla1[[#This Row],[FECHA EVENTO]],"dddd")</f>
        <v>miércoles</v>
      </c>
      <c r="K119" s="9" t="str">
        <f>TEXT(Tabla1[[#This Row],[FECHA EVENTO]], "[$-es-ES]mmmm")</f>
        <v>junio</v>
      </c>
      <c r="L119" s="9">
        <f>YEAR(Tabla1[[#This Row],[FECHA EVENTO]])</f>
        <v>2024</v>
      </c>
      <c r="M119" s="49">
        <v>0.28680555555555554</v>
      </c>
      <c r="N119" s="56">
        <f>HOUR(Tabla1[[#This Row],[HORA]])</f>
        <v>6</v>
      </c>
      <c r="O119" s="56">
        <v>53</v>
      </c>
      <c r="P119" s="56">
        <v>0</v>
      </c>
      <c r="Q119" s="16">
        <v>0.28704861111111107</v>
      </c>
      <c r="R119" s="16"/>
      <c r="S119" s="10">
        <f t="shared" si="4"/>
        <v>2.4305555555553804E-4</v>
      </c>
      <c r="T119" s="59"/>
      <c r="U119" s="12" t="s">
        <v>41</v>
      </c>
      <c r="V119" s="7" t="s">
        <v>38</v>
      </c>
      <c r="W119" s="7" t="s">
        <v>32</v>
      </c>
      <c r="X119" s="7" t="s">
        <v>218</v>
      </c>
      <c r="Y119" s="37">
        <v>0</v>
      </c>
      <c r="Z119" s="41">
        <v>0</v>
      </c>
      <c r="AA119" s="12" t="s">
        <v>41</v>
      </c>
      <c r="AB119" s="12" t="s">
        <v>42</v>
      </c>
      <c r="AC119" s="12" t="s">
        <v>69</v>
      </c>
      <c r="AD119" s="36" t="s">
        <v>43</v>
      </c>
      <c r="AE119" s="13" t="s">
        <v>219</v>
      </c>
    </row>
    <row r="120" spans="1:31">
      <c r="A120" s="5">
        <v>100108</v>
      </c>
      <c r="B120" s="6">
        <v>6744</v>
      </c>
      <c r="C120" s="6">
        <v>5140</v>
      </c>
      <c r="D120" s="6" t="s">
        <v>32</v>
      </c>
      <c r="E120" s="6" t="s">
        <v>51</v>
      </c>
      <c r="F120" s="6" t="s">
        <v>81</v>
      </c>
      <c r="G120" s="6" t="s">
        <v>220</v>
      </c>
      <c r="H120" s="7" t="s">
        <v>53</v>
      </c>
      <c r="I120" s="8">
        <v>45455</v>
      </c>
      <c r="J120" s="46" t="str">
        <f>TEXT(Tabla1[[#This Row],[FECHA EVENTO]],"dddd")</f>
        <v>miércoles</v>
      </c>
      <c r="K120" s="9" t="str">
        <f>TEXT(Tabla1[[#This Row],[FECHA EVENTO]], "[$-es-ES]mmmm")</f>
        <v>junio</v>
      </c>
      <c r="L120" s="9">
        <f>YEAR(Tabla1[[#This Row],[FECHA EVENTO]])</f>
        <v>2024</v>
      </c>
      <c r="M120" s="49">
        <v>0.64027777777777783</v>
      </c>
      <c r="N120" s="56">
        <f>HOUR(Tabla1[[#This Row],[HORA]])</f>
        <v>15</v>
      </c>
      <c r="O120" s="56">
        <v>22</v>
      </c>
      <c r="P120" s="56">
        <v>0</v>
      </c>
      <c r="Q120" s="16"/>
      <c r="R120" s="16"/>
      <c r="S120" s="10"/>
      <c r="T120" s="59">
        <f>R120-Q120</f>
        <v>0</v>
      </c>
      <c r="U120" s="12" t="s">
        <v>41</v>
      </c>
      <c r="V120" s="7" t="s">
        <v>38</v>
      </c>
      <c r="W120" s="7" t="s">
        <v>54</v>
      </c>
      <c r="X120" s="7" t="s">
        <v>49</v>
      </c>
      <c r="Y120" s="37">
        <v>0</v>
      </c>
      <c r="Z120" s="41">
        <v>0</v>
      </c>
      <c r="AA120" s="12"/>
      <c r="AB120" s="12" t="s">
        <v>42</v>
      </c>
      <c r="AC120" s="12"/>
      <c r="AD120" s="36" t="s">
        <v>43</v>
      </c>
      <c r="AE120" s="13" t="s">
        <v>221</v>
      </c>
    </row>
    <row r="121" spans="1:31">
      <c r="A121" s="5">
        <v>100109</v>
      </c>
      <c r="B121" s="6">
        <v>7922</v>
      </c>
      <c r="C121" s="6">
        <v>5735</v>
      </c>
      <c r="D121" s="6" t="s">
        <v>32</v>
      </c>
      <c r="E121" s="6" t="s">
        <v>51</v>
      </c>
      <c r="F121" s="6" t="s">
        <v>222</v>
      </c>
      <c r="G121" s="6" t="s">
        <v>223</v>
      </c>
      <c r="H121" s="7" t="s">
        <v>53</v>
      </c>
      <c r="I121" s="8">
        <v>45467</v>
      </c>
      <c r="J121" s="46" t="str">
        <f>TEXT(Tabla1[[#This Row],[FECHA EVENTO]],"dddd")</f>
        <v>lunes</v>
      </c>
      <c r="K121" s="9" t="str">
        <f>TEXT(Tabla1[[#This Row],[FECHA EVENTO]], "[$-es-ES]mmmm")</f>
        <v>junio</v>
      </c>
      <c r="L121" s="9">
        <f>YEAR(Tabla1[[#This Row],[FECHA EVENTO]])</f>
        <v>2024</v>
      </c>
      <c r="M121" s="49">
        <v>0.17025462962962964</v>
      </c>
      <c r="N121" s="56">
        <f>HOUR(Tabla1[[#This Row],[HORA]])</f>
        <v>4</v>
      </c>
      <c r="O121" s="56">
        <v>5</v>
      </c>
      <c r="P121" s="56">
        <v>10</v>
      </c>
      <c r="Q121" s="16">
        <v>0.17083333333333331</v>
      </c>
      <c r="R121" s="16">
        <v>0.17847222222222223</v>
      </c>
      <c r="S121" s="10">
        <f t="shared" ref="S121:S131" si="5">Q121-M121</f>
        <v>5.7870370370366464E-4</v>
      </c>
      <c r="T121" s="59">
        <f>R121-Q121</f>
        <v>7.6388888888889173E-3</v>
      </c>
      <c r="U121" s="12" t="s">
        <v>41</v>
      </c>
      <c r="V121" s="7" t="s">
        <v>38</v>
      </c>
      <c r="W121" s="7" t="s">
        <v>54</v>
      </c>
      <c r="X121" s="7" t="s">
        <v>49</v>
      </c>
      <c r="Y121" s="37">
        <v>265790000</v>
      </c>
      <c r="Z121" s="41">
        <v>0</v>
      </c>
      <c r="AA121" s="12" t="s">
        <v>41</v>
      </c>
      <c r="AB121" s="12" t="s">
        <v>42</v>
      </c>
      <c r="AC121" s="12" t="s">
        <v>69</v>
      </c>
      <c r="AD121" s="36" t="s">
        <v>43</v>
      </c>
      <c r="AE121" s="13" t="s">
        <v>224</v>
      </c>
    </row>
    <row r="122" spans="1:31">
      <c r="A122" s="5">
        <v>100110</v>
      </c>
      <c r="B122" s="6">
        <v>1748</v>
      </c>
      <c r="C122" s="6">
        <v>748</v>
      </c>
      <c r="D122" s="6" t="s">
        <v>39</v>
      </c>
      <c r="E122" s="6" t="s">
        <v>39</v>
      </c>
      <c r="F122" s="6" t="s">
        <v>39</v>
      </c>
      <c r="G122" s="6" t="s">
        <v>225</v>
      </c>
      <c r="H122" s="7" t="s">
        <v>53</v>
      </c>
      <c r="I122" s="8">
        <v>45481</v>
      </c>
      <c r="J122" s="46" t="str">
        <f>TEXT(Tabla1[[#This Row],[FECHA EVENTO]],"dddd")</f>
        <v>lunes</v>
      </c>
      <c r="K122" s="9" t="str">
        <f>TEXT(Tabla1[[#This Row],[FECHA EVENTO]], "[$-es-ES]mmmm")</f>
        <v>julio</v>
      </c>
      <c r="L122" s="9">
        <f>YEAR(Tabla1[[#This Row],[FECHA EVENTO]])</f>
        <v>2024</v>
      </c>
      <c r="M122" s="49">
        <v>0.64060185185185181</v>
      </c>
      <c r="N122" s="56">
        <f>HOUR(Tabla1[[#This Row],[HORA]])</f>
        <v>15</v>
      </c>
      <c r="O122" s="56">
        <v>22</v>
      </c>
      <c r="P122" s="56">
        <v>28</v>
      </c>
      <c r="Q122" s="16">
        <v>0.6407870370370371</v>
      </c>
      <c r="R122" s="16">
        <v>0.64374999999999993</v>
      </c>
      <c r="S122" s="10">
        <f t="shared" si="5"/>
        <v>1.8518518518528815E-4</v>
      </c>
      <c r="T122" s="59">
        <f>R122-Q122</f>
        <v>2.962962962962834E-3</v>
      </c>
      <c r="U122" s="12" t="s">
        <v>37</v>
      </c>
      <c r="V122" s="7" t="s">
        <v>71</v>
      </c>
      <c r="W122" s="7" t="s">
        <v>39</v>
      </c>
      <c r="X122" s="7" t="s">
        <v>71</v>
      </c>
      <c r="Y122" s="37">
        <v>0</v>
      </c>
      <c r="Z122" s="41">
        <v>0</v>
      </c>
      <c r="AA122" s="12"/>
      <c r="AB122" s="12" t="s">
        <v>42</v>
      </c>
      <c r="AC122" s="12"/>
      <c r="AD122" s="36" t="s">
        <v>43</v>
      </c>
      <c r="AE122" s="13"/>
    </row>
    <row r="123" spans="1:31">
      <c r="A123" s="5">
        <v>100111</v>
      </c>
      <c r="B123" s="6">
        <v>1928</v>
      </c>
      <c r="C123" s="6">
        <v>928</v>
      </c>
      <c r="D123" s="6" t="s">
        <v>39</v>
      </c>
      <c r="E123" s="6" t="s">
        <v>39</v>
      </c>
      <c r="F123" s="6" t="s">
        <v>39</v>
      </c>
      <c r="G123" s="6" t="s">
        <v>226</v>
      </c>
      <c r="H123" s="7" t="s">
        <v>36</v>
      </c>
      <c r="I123" s="8">
        <v>45517</v>
      </c>
      <c r="J123" s="46" t="str">
        <f>TEXT(Tabla1[[#This Row],[FECHA EVENTO]],"dddd")</f>
        <v>martes</v>
      </c>
      <c r="K123" s="9" t="str">
        <f>TEXT(Tabla1[[#This Row],[FECHA EVENTO]], "[$-es-ES]mmmm")</f>
        <v>agosto</v>
      </c>
      <c r="L123" s="9">
        <f>YEAR(Tabla1[[#This Row],[FECHA EVENTO]])</f>
        <v>2024</v>
      </c>
      <c r="M123" s="47">
        <v>0.54471064814814818</v>
      </c>
      <c r="N123" s="12">
        <f>HOUR(Tabla1[[#This Row],[HORA]])</f>
        <v>13</v>
      </c>
      <c r="O123" s="12">
        <v>4</v>
      </c>
      <c r="P123" s="12">
        <v>23</v>
      </c>
      <c r="Q123" s="10">
        <v>0.54537037037037039</v>
      </c>
      <c r="R123" s="7"/>
      <c r="S123" s="10">
        <f t="shared" si="5"/>
        <v>6.5972222222221433E-4</v>
      </c>
      <c r="T123" s="59"/>
      <c r="U123" s="12" t="s">
        <v>41</v>
      </c>
      <c r="V123" s="7" t="s">
        <v>71</v>
      </c>
      <c r="W123" s="7" t="s">
        <v>39</v>
      </c>
      <c r="X123" s="7" t="s">
        <v>71</v>
      </c>
      <c r="Y123" s="37">
        <v>0</v>
      </c>
      <c r="Z123" s="41">
        <v>0</v>
      </c>
      <c r="AA123" s="12"/>
      <c r="AB123" s="12" t="s">
        <v>42</v>
      </c>
      <c r="AC123" s="12"/>
      <c r="AD123" s="36" t="s">
        <v>43</v>
      </c>
      <c r="AE123" s="13"/>
    </row>
    <row r="124" spans="1:31">
      <c r="A124" s="5">
        <v>100112</v>
      </c>
      <c r="B124" s="6">
        <v>1669</v>
      </c>
      <c r="C124" s="6">
        <v>669</v>
      </c>
      <c r="D124" s="6" t="s">
        <v>39</v>
      </c>
      <c r="E124" s="6" t="s">
        <v>39</v>
      </c>
      <c r="F124" s="6" t="s">
        <v>39</v>
      </c>
      <c r="G124" s="6" t="s">
        <v>227</v>
      </c>
      <c r="H124" s="7" t="s">
        <v>47</v>
      </c>
      <c r="I124" s="8">
        <v>45518</v>
      </c>
      <c r="J124" s="46" t="str">
        <f>TEXT(Tabla1[[#This Row],[FECHA EVENTO]],"dddd")</f>
        <v>miércoles</v>
      </c>
      <c r="K124" s="9" t="str">
        <f>TEXT(Tabla1[[#This Row],[FECHA EVENTO]], "[$-es-ES]mmmm")</f>
        <v>agosto</v>
      </c>
      <c r="L124" s="9">
        <f>YEAR(Tabla1[[#This Row],[FECHA EVENTO]])</f>
        <v>2024</v>
      </c>
      <c r="M124" s="49">
        <v>0.50902777777777775</v>
      </c>
      <c r="N124" s="56">
        <f>HOUR(Tabla1[[#This Row],[HORA]])</f>
        <v>12</v>
      </c>
      <c r="O124" s="56">
        <v>13</v>
      </c>
      <c r="P124" s="56">
        <v>0</v>
      </c>
      <c r="Q124" s="16">
        <v>0.50902777777777775</v>
      </c>
      <c r="R124" s="16">
        <v>0.52847222222222223</v>
      </c>
      <c r="S124" s="10">
        <f t="shared" si="5"/>
        <v>0</v>
      </c>
      <c r="T124" s="59">
        <f>R124-Q124</f>
        <v>1.9444444444444486E-2</v>
      </c>
      <c r="U124" s="12" t="s">
        <v>152</v>
      </c>
      <c r="V124" s="7" t="s">
        <v>71</v>
      </c>
      <c r="W124" s="7" t="s">
        <v>39</v>
      </c>
      <c r="X124" s="7" t="s">
        <v>71</v>
      </c>
      <c r="Y124" s="37">
        <v>0</v>
      </c>
      <c r="Z124" s="41">
        <v>0</v>
      </c>
      <c r="AA124" s="12"/>
      <c r="AB124" s="12" t="s">
        <v>42</v>
      </c>
      <c r="AC124" s="12"/>
      <c r="AD124" s="36" t="s">
        <v>43</v>
      </c>
      <c r="AE124" s="13" t="s">
        <v>228</v>
      </c>
    </row>
    <row r="125" spans="1:31">
      <c r="A125" s="5">
        <v>100113</v>
      </c>
      <c r="B125" s="6">
        <v>8633</v>
      </c>
      <c r="C125" s="6">
        <v>7062</v>
      </c>
      <c r="D125" s="6" t="s">
        <v>32</v>
      </c>
      <c r="E125" s="6" t="s">
        <v>51</v>
      </c>
      <c r="F125" s="6" t="s">
        <v>81</v>
      </c>
      <c r="G125" s="6" t="s">
        <v>229</v>
      </c>
      <c r="H125" s="7" t="s">
        <v>53</v>
      </c>
      <c r="I125" s="8">
        <v>45533</v>
      </c>
      <c r="J125" s="46" t="str">
        <f>TEXT(Tabla1[[#This Row],[FECHA EVENTO]],"dddd")</f>
        <v>jueves</v>
      </c>
      <c r="K125" s="9" t="str">
        <f>TEXT(Tabla1[[#This Row],[FECHA EVENTO]], "[$-es-ES]mmmm")</f>
        <v>agosto</v>
      </c>
      <c r="L125" s="9">
        <f>YEAR(Tabla1[[#This Row],[FECHA EVENTO]])</f>
        <v>2024</v>
      </c>
      <c r="M125" s="47">
        <v>5.2199074074074071E-2</v>
      </c>
      <c r="N125" s="12">
        <f>HOUR(Tabla1[[#This Row],[HORA]])</f>
        <v>1</v>
      </c>
      <c r="O125" s="12">
        <v>15</v>
      </c>
      <c r="P125" s="12">
        <v>10</v>
      </c>
      <c r="Q125" s="10">
        <v>5.2245370370370366E-2</v>
      </c>
      <c r="R125" s="11">
        <v>6.9444444444444434E-2</v>
      </c>
      <c r="S125" s="10">
        <f t="shared" si="5"/>
        <v>4.6296296296294281E-5</v>
      </c>
      <c r="T125" s="59">
        <f>R125-Q125</f>
        <v>1.7199074074074068E-2</v>
      </c>
      <c r="U125" s="12" t="s">
        <v>41</v>
      </c>
      <c r="V125" s="7" t="s">
        <v>38</v>
      </c>
      <c r="W125" s="7" t="s">
        <v>230</v>
      </c>
      <c r="X125" s="7" t="s">
        <v>49</v>
      </c>
      <c r="Y125" s="37">
        <v>0</v>
      </c>
      <c r="Z125" s="41">
        <v>0</v>
      </c>
      <c r="AA125" s="12"/>
      <c r="AB125" s="12" t="s">
        <v>42</v>
      </c>
      <c r="AC125" s="12"/>
      <c r="AD125" s="36" t="s">
        <v>43</v>
      </c>
      <c r="AE125" s="13"/>
    </row>
    <row r="126" spans="1:31">
      <c r="A126" s="5">
        <v>100114</v>
      </c>
      <c r="B126" s="6">
        <v>7692</v>
      </c>
      <c r="C126" s="6">
        <v>6640</v>
      </c>
      <c r="D126" s="6" t="s">
        <v>32</v>
      </c>
      <c r="E126" s="6" t="s">
        <v>51</v>
      </c>
      <c r="F126" s="17" t="s">
        <v>231</v>
      </c>
      <c r="G126" s="6" t="s">
        <v>170</v>
      </c>
      <c r="H126" s="7" t="s">
        <v>36</v>
      </c>
      <c r="I126" s="8">
        <v>45538</v>
      </c>
      <c r="J126" s="46" t="str">
        <f>TEXT(Tabla1[[#This Row],[FECHA EVENTO]],"dddd")</f>
        <v>martes</v>
      </c>
      <c r="K126" s="9" t="str">
        <f>TEXT(Tabla1[[#This Row],[FECHA EVENTO]], "[$-es-ES]mmmm")</f>
        <v>septiembre</v>
      </c>
      <c r="L126" s="9">
        <f>YEAR(Tabla1[[#This Row],[FECHA EVENTO]])</f>
        <v>2024</v>
      </c>
      <c r="M126" s="47">
        <v>0.72363425925925917</v>
      </c>
      <c r="N126" s="12">
        <f>HOUR(Tabla1[[#This Row],[HORA]])</f>
        <v>17</v>
      </c>
      <c r="O126" s="12">
        <v>22</v>
      </c>
      <c r="P126" s="12">
        <v>2</v>
      </c>
      <c r="Q126" s="10">
        <v>0.72387731481481488</v>
      </c>
      <c r="R126" s="7"/>
      <c r="S126" s="10">
        <f t="shared" si="5"/>
        <v>2.4305555555570457E-4</v>
      </c>
      <c r="T126" s="59"/>
      <c r="U126" s="12" t="s">
        <v>152</v>
      </c>
      <c r="V126" s="7" t="s">
        <v>232</v>
      </c>
      <c r="W126" s="7" t="s">
        <v>32</v>
      </c>
      <c r="X126" s="7" t="s">
        <v>112</v>
      </c>
      <c r="Y126" s="37">
        <v>0</v>
      </c>
      <c r="Z126" s="41">
        <v>0</v>
      </c>
      <c r="AA126" s="12"/>
      <c r="AB126" s="12" t="s">
        <v>42</v>
      </c>
      <c r="AC126" s="12"/>
      <c r="AD126" s="36" t="s">
        <v>43</v>
      </c>
      <c r="AE126" s="13" t="s">
        <v>233</v>
      </c>
    </row>
    <row r="127" spans="1:31">
      <c r="A127" s="5">
        <v>100115</v>
      </c>
      <c r="B127" s="6">
        <v>7108</v>
      </c>
      <c r="C127" s="6">
        <v>8776</v>
      </c>
      <c r="D127" s="6" t="s">
        <v>32</v>
      </c>
      <c r="E127" s="6" t="s">
        <v>51</v>
      </c>
      <c r="F127" s="6" t="s">
        <v>34</v>
      </c>
      <c r="G127" s="6" t="s">
        <v>234</v>
      </c>
      <c r="H127" s="7" t="s">
        <v>235</v>
      </c>
      <c r="I127" s="8">
        <v>45576</v>
      </c>
      <c r="J127" s="46" t="str">
        <f>TEXT(Tabla1[[#This Row],[FECHA EVENTO]],"dddd")</f>
        <v>viernes</v>
      </c>
      <c r="K127" s="9" t="str">
        <f>TEXT(Tabla1[[#This Row],[FECHA EVENTO]], "[$-es-ES]mmmm")</f>
        <v>octubre</v>
      </c>
      <c r="L127" s="9">
        <f>YEAR(Tabla1[[#This Row],[FECHA EVENTO]])</f>
        <v>2024</v>
      </c>
      <c r="M127" s="47">
        <v>0.14181712962962964</v>
      </c>
      <c r="N127" s="12">
        <f>HOUR(Tabla1[[#This Row],[HORA]])</f>
        <v>3</v>
      </c>
      <c r="O127" s="12">
        <v>24</v>
      </c>
      <c r="P127" s="12">
        <v>13</v>
      </c>
      <c r="Q127" s="10">
        <v>0.14186342592592593</v>
      </c>
      <c r="R127" s="10">
        <v>0.19375000000000001</v>
      </c>
      <c r="S127" s="10">
        <f t="shared" si="5"/>
        <v>4.6296296296294281E-5</v>
      </c>
      <c r="T127" s="59">
        <f>R127-Q127</f>
        <v>5.1886574074074071E-2</v>
      </c>
      <c r="U127" s="12" t="s">
        <v>152</v>
      </c>
      <c r="V127" s="7" t="s">
        <v>38</v>
      </c>
      <c r="W127" s="7" t="s">
        <v>32</v>
      </c>
      <c r="X127" s="7" t="s">
        <v>49</v>
      </c>
      <c r="Y127" s="37">
        <v>105490000</v>
      </c>
      <c r="Z127" s="41">
        <v>0</v>
      </c>
      <c r="AA127" s="12"/>
      <c r="AB127" s="12" t="s">
        <v>42</v>
      </c>
      <c r="AC127" s="12"/>
      <c r="AD127" s="36" t="s">
        <v>43</v>
      </c>
      <c r="AE127" s="13" t="s">
        <v>236</v>
      </c>
    </row>
    <row r="128" spans="1:31">
      <c r="A128" s="5">
        <v>100116</v>
      </c>
      <c r="B128" s="6">
        <v>7281</v>
      </c>
      <c r="C128" s="6">
        <v>8128</v>
      </c>
      <c r="D128" s="6" t="s">
        <v>32</v>
      </c>
      <c r="E128" s="6" t="s">
        <v>188</v>
      </c>
      <c r="F128" s="6" t="s">
        <v>211</v>
      </c>
      <c r="G128" s="6" t="s">
        <v>212</v>
      </c>
      <c r="H128" s="7" t="s">
        <v>53</v>
      </c>
      <c r="I128" s="8">
        <v>45593</v>
      </c>
      <c r="J128" s="46" t="str">
        <f>TEXT(Tabla1[[#This Row],[FECHA EVENTO]],"dddd")</f>
        <v>lunes</v>
      </c>
      <c r="K128" s="9" t="str">
        <f>TEXT(Tabla1[[#This Row],[FECHA EVENTO]], "[$-es-ES]mmmm")</f>
        <v>octubre</v>
      </c>
      <c r="L128" s="9">
        <f>YEAR(Tabla1[[#This Row],[FECHA EVENTO]])</f>
        <v>2024</v>
      </c>
      <c r="M128" s="49">
        <v>0.12966435185185185</v>
      </c>
      <c r="N128" s="56">
        <f>HOUR(Tabla1[[#This Row],[HORA]])</f>
        <v>3</v>
      </c>
      <c r="O128" s="56">
        <v>6</v>
      </c>
      <c r="P128" s="56">
        <v>43</v>
      </c>
      <c r="Q128" s="16">
        <v>0.12971064814814814</v>
      </c>
      <c r="R128" s="16">
        <v>0.14972222222222223</v>
      </c>
      <c r="S128" s="10">
        <f t="shared" si="5"/>
        <v>4.6296296296294281E-5</v>
      </c>
      <c r="T128" s="59">
        <f>R128-Q128</f>
        <v>2.0011574074074084E-2</v>
      </c>
      <c r="U128" s="12" t="s">
        <v>41</v>
      </c>
      <c r="V128" s="7" t="s">
        <v>38</v>
      </c>
      <c r="W128" s="7" t="s">
        <v>54</v>
      </c>
      <c r="X128" s="7" t="s">
        <v>49</v>
      </c>
      <c r="Y128" s="37">
        <v>0</v>
      </c>
      <c r="Z128" s="41">
        <v>0</v>
      </c>
      <c r="AA128" s="12" t="s">
        <v>41</v>
      </c>
      <c r="AB128" s="12" t="s">
        <v>42</v>
      </c>
      <c r="AC128" s="12" t="s">
        <v>69</v>
      </c>
      <c r="AD128" s="36" t="s">
        <v>43</v>
      </c>
      <c r="AE128" s="13"/>
    </row>
    <row r="129" spans="1:31">
      <c r="A129" s="5">
        <v>100117</v>
      </c>
      <c r="B129" s="6">
        <v>1190</v>
      </c>
      <c r="C129" s="6">
        <v>190</v>
      </c>
      <c r="D129" s="6" t="s">
        <v>39</v>
      </c>
      <c r="E129" s="6" t="s">
        <v>39</v>
      </c>
      <c r="F129" s="6" t="s">
        <v>105</v>
      </c>
      <c r="G129" s="6" t="s">
        <v>237</v>
      </c>
      <c r="H129" s="7" t="s">
        <v>87</v>
      </c>
      <c r="I129" s="8">
        <v>45609</v>
      </c>
      <c r="J129" s="46" t="str">
        <f>TEXT(Tabla1[[#This Row],[FECHA EVENTO]],"dddd")</f>
        <v>miércoles</v>
      </c>
      <c r="K129" s="9" t="str">
        <f>TEXT(Tabla1[[#This Row],[FECHA EVENTO]], "[$-es-ES]mmmm")</f>
        <v>noviembre</v>
      </c>
      <c r="L129" s="9">
        <f>YEAR(Tabla1[[#This Row],[FECHA EVENTO]])</f>
        <v>2024</v>
      </c>
      <c r="M129" s="47">
        <v>0.46681712962962968</v>
      </c>
      <c r="N129" s="12">
        <f>HOUR(Tabla1[[#This Row],[HORA]])</f>
        <v>11</v>
      </c>
      <c r="O129" s="12">
        <v>12</v>
      </c>
      <c r="P129" s="12">
        <v>13</v>
      </c>
      <c r="Q129" s="10">
        <v>0.46687499999999998</v>
      </c>
      <c r="R129" s="10">
        <v>0.47173611111111113</v>
      </c>
      <c r="S129" s="10">
        <f t="shared" si="5"/>
        <v>5.7870370370305402E-5</v>
      </c>
      <c r="T129" s="59">
        <f>R129-Q129</f>
        <v>4.8611111111111494E-3</v>
      </c>
      <c r="U129" s="12" t="s">
        <v>55</v>
      </c>
      <c r="V129" s="7" t="s">
        <v>71</v>
      </c>
      <c r="W129" s="7" t="s">
        <v>39</v>
      </c>
      <c r="X129" s="7" t="s">
        <v>71</v>
      </c>
      <c r="Y129" s="37">
        <v>0</v>
      </c>
      <c r="Z129" s="41">
        <v>0</v>
      </c>
      <c r="AA129" s="12"/>
      <c r="AB129" s="12" t="s">
        <v>42</v>
      </c>
      <c r="AC129" s="12"/>
      <c r="AD129" s="36" t="s">
        <v>43</v>
      </c>
      <c r="AE129" s="13" t="s">
        <v>238</v>
      </c>
    </row>
    <row r="130" spans="1:31">
      <c r="A130" s="5">
        <v>100118</v>
      </c>
      <c r="B130" s="6">
        <v>1669</v>
      </c>
      <c r="C130" s="6">
        <v>669</v>
      </c>
      <c r="D130" s="6" t="s">
        <v>39</v>
      </c>
      <c r="E130" s="6" t="s">
        <v>39</v>
      </c>
      <c r="F130" s="6" t="s">
        <v>39</v>
      </c>
      <c r="G130" s="6" t="s">
        <v>239</v>
      </c>
      <c r="H130" s="7" t="s">
        <v>47</v>
      </c>
      <c r="I130" s="8">
        <v>45617</v>
      </c>
      <c r="J130" s="46" t="str">
        <f>TEXT(Tabla1[[#This Row],[FECHA EVENTO]],"dddd")</f>
        <v>jueves</v>
      </c>
      <c r="K130" s="9" t="str">
        <f>TEXT(Tabla1[[#This Row],[FECHA EVENTO]], "[$-es-ES]mmmm")</f>
        <v>noviembre</v>
      </c>
      <c r="L130" s="9">
        <f>YEAR(Tabla1[[#This Row],[FECHA EVENTO]])</f>
        <v>2024</v>
      </c>
      <c r="M130" s="47">
        <v>0.4535763888888889</v>
      </c>
      <c r="N130" s="12">
        <f>HOUR(Tabla1[[#This Row],[HORA]])</f>
        <v>10</v>
      </c>
      <c r="O130" s="12">
        <v>53</v>
      </c>
      <c r="P130" s="12">
        <v>9</v>
      </c>
      <c r="Q130" s="10">
        <v>0.45418981481481485</v>
      </c>
      <c r="R130" s="10">
        <v>0.46527777777777773</v>
      </c>
      <c r="S130" s="10">
        <f t="shared" si="5"/>
        <v>6.134259259259478E-4</v>
      </c>
      <c r="T130" s="59">
        <f>R130-Q130</f>
        <v>1.1087962962962883E-2</v>
      </c>
      <c r="U130" s="12" t="s">
        <v>152</v>
      </c>
      <c r="V130" s="7" t="s">
        <v>71</v>
      </c>
      <c r="W130" s="7" t="s">
        <v>39</v>
      </c>
      <c r="X130" s="7" t="s">
        <v>71</v>
      </c>
      <c r="Y130" s="37">
        <v>0</v>
      </c>
      <c r="Z130" s="41">
        <v>0</v>
      </c>
      <c r="AA130" s="12"/>
      <c r="AB130" s="12" t="s">
        <v>42</v>
      </c>
      <c r="AC130" s="12"/>
      <c r="AD130" s="36" t="s">
        <v>43</v>
      </c>
      <c r="AE130" s="13"/>
    </row>
    <row r="131" spans="1:31">
      <c r="A131" s="5">
        <v>100119</v>
      </c>
      <c r="B131" s="6">
        <v>1769</v>
      </c>
      <c r="C131" s="6">
        <v>3373</v>
      </c>
      <c r="D131" s="6" t="s">
        <v>32</v>
      </c>
      <c r="E131" s="6" t="s">
        <v>51</v>
      </c>
      <c r="F131" s="6" t="s">
        <v>34</v>
      </c>
      <c r="G131" s="6" t="s">
        <v>240</v>
      </c>
      <c r="H131" s="7" t="s">
        <v>36</v>
      </c>
      <c r="I131" s="8">
        <v>45623</v>
      </c>
      <c r="J131" s="46" t="str">
        <f>TEXT(Tabla1[[#This Row],[FECHA EVENTO]],"dddd")</f>
        <v>miércoles</v>
      </c>
      <c r="K131" s="9" t="str">
        <f>TEXT(Tabla1[[#This Row],[FECHA EVENTO]], "[$-es-ES]mmmm")</f>
        <v>noviembre</v>
      </c>
      <c r="L131" s="9">
        <f>YEAR(Tabla1[[#This Row],[FECHA EVENTO]])</f>
        <v>2024</v>
      </c>
      <c r="M131" s="47">
        <v>0.22405092592592593</v>
      </c>
      <c r="N131" s="12">
        <f>HOUR(Tabla1[[#This Row],[HORA]])</f>
        <v>5</v>
      </c>
      <c r="O131" s="12">
        <v>22</v>
      </c>
      <c r="P131" s="12">
        <v>38</v>
      </c>
      <c r="Q131" s="10">
        <v>0.22421296296296298</v>
      </c>
      <c r="R131" s="10">
        <v>0.24422453703703703</v>
      </c>
      <c r="S131" s="10">
        <f t="shared" si="5"/>
        <v>1.6203703703704386E-4</v>
      </c>
      <c r="T131" s="59">
        <f>R131-Q131</f>
        <v>2.0011574074074057E-2</v>
      </c>
      <c r="U131" s="12" t="s">
        <v>41</v>
      </c>
      <c r="V131" s="7" t="s">
        <v>38</v>
      </c>
      <c r="W131" s="7" t="s">
        <v>32</v>
      </c>
      <c r="X131" s="7" t="s">
        <v>241</v>
      </c>
      <c r="Y131" s="37">
        <v>0</v>
      </c>
      <c r="Z131" s="41">
        <v>0</v>
      </c>
      <c r="AA131" s="12"/>
      <c r="AB131" s="12" t="s">
        <v>42</v>
      </c>
      <c r="AC131" s="12"/>
      <c r="AD131" s="36" t="s">
        <v>43</v>
      </c>
      <c r="AE131" s="13" t="s">
        <v>242</v>
      </c>
    </row>
    <row r="132" spans="1:31">
      <c r="A132" s="5">
        <v>100120</v>
      </c>
      <c r="B132" s="6">
        <v>8717</v>
      </c>
      <c r="C132" s="6">
        <v>3174</v>
      </c>
      <c r="D132" s="6" t="s">
        <v>32</v>
      </c>
      <c r="E132" s="6" t="s">
        <v>51</v>
      </c>
      <c r="F132" s="6" t="s">
        <v>34</v>
      </c>
      <c r="G132" s="6" t="s">
        <v>243</v>
      </c>
      <c r="H132" s="7" t="s">
        <v>53</v>
      </c>
      <c r="I132" s="8">
        <v>45638</v>
      </c>
      <c r="J132" s="46" t="str">
        <f>TEXT(Tabla1[[#This Row],[FECHA EVENTO]],"dddd")</f>
        <v>jueves</v>
      </c>
      <c r="K132" s="9" t="str">
        <f>TEXT(Tabla1[[#This Row],[FECHA EVENTO]], "[$-es-ES]mmmm")</f>
        <v>diciembre</v>
      </c>
      <c r="L132" s="9">
        <f>YEAR(Tabla1[[#This Row],[FECHA EVENTO]])</f>
        <v>2024</v>
      </c>
      <c r="M132" s="47">
        <v>0.19513888888888889</v>
      </c>
      <c r="N132" s="12">
        <f>HOUR(Tabla1[[#This Row],[HORA]])</f>
        <v>4</v>
      </c>
      <c r="O132" s="12">
        <v>41</v>
      </c>
      <c r="P132" s="12">
        <v>0</v>
      </c>
      <c r="Q132" s="10">
        <v>0</v>
      </c>
      <c r="R132" s="11">
        <v>0.3666666666666667</v>
      </c>
      <c r="S132" s="10"/>
      <c r="T132" s="59"/>
      <c r="U132" s="12" t="s">
        <v>152</v>
      </c>
      <c r="V132" s="7" t="s">
        <v>38</v>
      </c>
      <c r="W132" s="7" t="s">
        <v>32</v>
      </c>
      <c r="X132" s="7" t="s">
        <v>49</v>
      </c>
      <c r="Y132" s="37">
        <v>0</v>
      </c>
      <c r="Z132" s="41">
        <v>0</v>
      </c>
      <c r="AA132" s="12"/>
      <c r="AB132" s="12" t="s">
        <v>42</v>
      </c>
      <c r="AC132" s="12"/>
      <c r="AD132" s="36" t="s">
        <v>43</v>
      </c>
      <c r="AE132" s="13" t="s">
        <v>244</v>
      </c>
    </row>
    <row r="133" spans="1:31">
      <c r="A133" s="5">
        <v>100121</v>
      </c>
      <c r="B133" s="6">
        <v>7500</v>
      </c>
      <c r="C133" s="6">
        <v>6057</v>
      </c>
      <c r="D133" s="6" t="s">
        <v>32</v>
      </c>
      <c r="E133" s="6" t="s">
        <v>51</v>
      </c>
      <c r="F133" s="6" t="s">
        <v>34</v>
      </c>
      <c r="G133" s="6" t="s">
        <v>245</v>
      </c>
      <c r="H133" s="7" t="s">
        <v>87</v>
      </c>
      <c r="I133" s="8">
        <v>45666</v>
      </c>
      <c r="J133" s="46" t="str">
        <f>TEXT(Tabla1[[#This Row],[FECHA EVENTO]],"dddd")</f>
        <v>jueves</v>
      </c>
      <c r="K133" s="9" t="str">
        <f>TEXT(Tabla1[[#This Row],[FECHA EVENTO]], "[$-es-ES]mmmm")</f>
        <v>enero</v>
      </c>
      <c r="L133" s="9">
        <f>YEAR(Tabla1[[#This Row],[FECHA EVENTO]])</f>
        <v>2025</v>
      </c>
      <c r="M133" s="47">
        <v>0.17020833333333332</v>
      </c>
      <c r="N133" s="12">
        <f>HOUR(Tabla1[[#This Row],[HORA]])</f>
        <v>4</v>
      </c>
      <c r="O133" s="12">
        <v>5</v>
      </c>
      <c r="P133" s="12">
        <v>6</v>
      </c>
      <c r="Q133" s="10">
        <v>0.17028935185185187</v>
      </c>
      <c r="R133" s="10">
        <v>0.17725694444444443</v>
      </c>
      <c r="S133" s="10">
        <f t="shared" ref="S133:S159" si="6">Q133-M133</f>
        <v>8.1018518518549687E-5</v>
      </c>
      <c r="T133" s="59">
        <f t="shared" ref="T133:T159" si="7">R133-Q133</f>
        <v>6.967592592592553E-3</v>
      </c>
      <c r="U133" s="12" t="s">
        <v>41</v>
      </c>
      <c r="V133" s="7" t="s">
        <v>38</v>
      </c>
      <c r="W133" s="7" t="s">
        <v>32</v>
      </c>
      <c r="X133" s="7" t="s">
        <v>49</v>
      </c>
      <c r="Y133" s="37">
        <v>165000000</v>
      </c>
      <c r="Z133" s="41">
        <v>0</v>
      </c>
      <c r="AA133" s="12"/>
      <c r="AB133" s="12" t="s">
        <v>42</v>
      </c>
      <c r="AC133" s="12"/>
      <c r="AD133" s="36" t="s">
        <v>43</v>
      </c>
      <c r="AE133" s="13"/>
    </row>
    <row r="134" spans="1:31">
      <c r="A134" s="5">
        <v>100122</v>
      </c>
      <c r="B134" s="6">
        <v>1996</v>
      </c>
      <c r="C134" s="6">
        <v>996</v>
      </c>
      <c r="D134" s="6" t="s">
        <v>39</v>
      </c>
      <c r="E134" s="6" t="s">
        <v>39</v>
      </c>
      <c r="F134" s="6" t="s">
        <v>39</v>
      </c>
      <c r="G134" s="6" t="s">
        <v>246</v>
      </c>
      <c r="H134" s="7" t="s">
        <v>47</v>
      </c>
      <c r="I134" s="8">
        <v>45673</v>
      </c>
      <c r="J134" s="46" t="str">
        <f>TEXT(Tabla1[[#This Row],[FECHA EVENTO]],"dddd")</f>
        <v>jueves</v>
      </c>
      <c r="K134" s="9" t="str">
        <f>TEXT(Tabla1[[#This Row],[FECHA EVENTO]], "[$-es-ES]mmmm")</f>
        <v>enero</v>
      </c>
      <c r="L134" s="9">
        <f>YEAR(Tabla1[[#This Row],[FECHA EVENTO]])</f>
        <v>2025</v>
      </c>
      <c r="M134" s="47">
        <v>0.40540509259259255</v>
      </c>
      <c r="N134" s="12">
        <f>HOUR(Tabla1[[#This Row],[HORA]])</f>
        <v>9</v>
      </c>
      <c r="O134" s="12">
        <v>43</v>
      </c>
      <c r="P134" s="12">
        <v>47</v>
      </c>
      <c r="Q134" s="10">
        <v>0.4054976851851852</v>
      </c>
      <c r="R134" s="10">
        <v>0.41047453703703707</v>
      </c>
      <c r="S134" s="10">
        <f t="shared" si="6"/>
        <v>9.2592592592644074E-5</v>
      </c>
      <c r="T134" s="59">
        <f t="shared" si="7"/>
        <v>4.9768518518518712E-3</v>
      </c>
      <c r="U134" s="12" t="s">
        <v>55</v>
      </c>
      <c r="V134" s="7" t="s">
        <v>71</v>
      </c>
      <c r="W134" s="7" t="s">
        <v>39</v>
      </c>
      <c r="X134" s="7" t="s">
        <v>71</v>
      </c>
      <c r="Y134" s="37">
        <v>0</v>
      </c>
      <c r="Z134" s="41">
        <v>0</v>
      </c>
      <c r="AA134" s="12"/>
      <c r="AB134" s="12" t="s">
        <v>42</v>
      </c>
      <c r="AC134" s="12"/>
      <c r="AD134" s="36" t="s">
        <v>43</v>
      </c>
      <c r="AE134" s="13"/>
    </row>
    <row r="135" spans="1:31">
      <c r="A135" s="5">
        <v>100123</v>
      </c>
      <c r="B135" s="6">
        <v>1748</v>
      </c>
      <c r="C135" s="6">
        <v>748</v>
      </c>
      <c r="D135" s="6" t="s">
        <v>39</v>
      </c>
      <c r="E135" s="6" t="s">
        <v>39</v>
      </c>
      <c r="F135" s="6" t="s">
        <v>105</v>
      </c>
      <c r="G135" s="6" t="s">
        <v>247</v>
      </c>
      <c r="H135" s="7" t="s">
        <v>53</v>
      </c>
      <c r="I135" s="8">
        <v>45712</v>
      </c>
      <c r="J135" s="46" t="str">
        <f>TEXT(Tabla1[[#This Row],[FECHA EVENTO]],"dddd")</f>
        <v>lunes</v>
      </c>
      <c r="K135" s="9" t="str">
        <f>TEXT(Tabla1[[#This Row],[FECHA EVENTO]], "[$-es-ES]mmmm")</f>
        <v>febrero</v>
      </c>
      <c r="L135" s="9">
        <f>YEAR(Tabla1[[#This Row],[FECHA EVENTO]])</f>
        <v>2025</v>
      </c>
      <c r="M135" s="47">
        <v>0.39212962962962966</v>
      </c>
      <c r="N135" s="12">
        <f>HOUR(Tabla1[[#This Row],[HORA]])</f>
        <v>9</v>
      </c>
      <c r="O135" s="12">
        <v>24</v>
      </c>
      <c r="P135" s="12">
        <v>40</v>
      </c>
      <c r="Q135" s="10">
        <v>0.39217592592592593</v>
      </c>
      <c r="R135" s="10">
        <v>0.40069444444444446</v>
      </c>
      <c r="S135" s="10">
        <f t="shared" si="6"/>
        <v>4.6296296296266526E-5</v>
      </c>
      <c r="T135" s="59">
        <f>R135-Q135</f>
        <v>8.5185185185185364E-3</v>
      </c>
      <c r="U135" s="12" t="s">
        <v>55</v>
      </c>
      <c r="V135" s="7" t="s">
        <v>71</v>
      </c>
      <c r="W135" s="7" t="s">
        <v>39</v>
      </c>
      <c r="X135" s="7" t="s">
        <v>71</v>
      </c>
      <c r="Y135" s="37">
        <v>0</v>
      </c>
      <c r="Z135" s="41">
        <v>0</v>
      </c>
      <c r="AA135" s="12"/>
      <c r="AB135" s="12" t="s">
        <v>42</v>
      </c>
      <c r="AC135" s="12"/>
      <c r="AD135" s="36" t="s">
        <v>43</v>
      </c>
      <c r="AE135" s="13"/>
    </row>
    <row r="136" spans="1:31">
      <c r="A136" s="5">
        <v>100124</v>
      </c>
      <c r="B136" s="6">
        <v>1520</v>
      </c>
      <c r="C136" s="6">
        <v>520</v>
      </c>
      <c r="D136" s="6" t="s">
        <v>39</v>
      </c>
      <c r="E136" s="6" t="s">
        <v>39</v>
      </c>
      <c r="F136" s="6" t="s">
        <v>105</v>
      </c>
      <c r="G136" s="6" t="s">
        <v>248</v>
      </c>
      <c r="H136" s="7" t="s">
        <v>36</v>
      </c>
      <c r="I136" s="8">
        <v>45715</v>
      </c>
      <c r="J136" s="46" t="str">
        <f>TEXT(Tabla1[[#This Row],[FECHA EVENTO]],"dddd")</f>
        <v>jueves</v>
      </c>
      <c r="K136" s="9" t="str">
        <f>TEXT(Tabla1[[#This Row],[FECHA EVENTO]], "[$-es-ES]mmmm")</f>
        <v>febrero</v>
      </c>
      <c r="L136" s="9">
        <f>YEAR(Tabla1[[#This Row],[FECHA EVENTO]])</f>
        <v>2025</v>
      </c>
      <c r="M136" s="49">
        <v>0.64990740740740738</v>
      </c>
      <c r="N136" s="56">
        <f>HOUR(Tabla1[[#This Row],[HORA]])</f>
        <v>15</v>
      </c>
      <c r="O136" s="56">
        <v>35</v>
      </c>
      <c r="P136" s="56">
        <v>52</v>
      </c>
      <c r="Q136" s="16">
        <v>0.65</v>
      </c>
      <c r="R136" s="16">
        <v>0.65347222222222223</v>
      </c>
      <c r="S136" s="10">
        <f t="shared" si="6"/>
        <v>9.2592592592644074E-5</v>
      </c>
      <c r="T136" s="59">
        <f>R136-Q136</f>
        <v>3.4722222222222099E-3</v>
      </c>
      <c r="U136" s="12" t="s">
        <v>55</v>
      </c>
      <c r="V136" s="7" t="s">
        <v>71</v>
      </c>
      <c r="W136" s="7" t="s">
        <v>39</v>
      </c>
      <c r="X136" s="7" t="s">
        <v>71</v>
      </c>
      <c r="Y136" s="37">
        <v>0</v>
      </c>
      <c r="Z136" s="41">
        <v>0</v>
      </c>
      <c r="AA136" s="12"/>
      <c r="AB136" s="12" t="s">
        <v>42</v>
      </c>
      <c r="AC136" s="12"/>
      <c r="AD136" s="36" t="s">
        <v>43</v>
      </c>
      <c r="AE136" s="13"/>
    </row>
    <row r="137" spans="1:31">
      <c r="A137" s="5">
        <v>100125</v>
      </c>
      <c r="B137" s="6">
        <v>1876</v>
      </c>
      <c r="C137" s="6">
        <v>876</v>
      </c>
      <c r="D137" s="6" t="s">
        <v>39</v>
      </c>
      <c r="E137" s="6" t="s">
        <v>39</v>
      </c>
      <c r="F137" s="6" t="s">
        <v>39</v>
      </c>
      <c r="G137" s="6" t="s">
        <v>249</v>
      </c>
      <c r="H137" s="7" t="s">
        <v>250</v>
      </c>
      <c r="I137" s="8">
        <v>45763</v>
      </c>
      <c r="J137" s="46" t="str">
        <f>TEXT(Tabla1[[#This Row],[FECHA EVENTO]],"dddd")</f>
        <v>miércoles</v>
      </c>
      <c r="K137" s="9" t="str">
        <f>TEXT(Tabla1[[#This Row],[FECHA EVENTO]], "[$-es-ES]mmmm")</f>
        <v>abril</v>
      </c>
      <c r="L137" s="9">
        <f>YEAR(Tabla1[[#This Row],[FECHA EVENTO]])</f>
        <v>2025</v>
      </c>
      <c r="M137" s="47">
        <v>0.59952546296296294</v>
      </c>
      <c r="N137" s="12">
        <f>HOUR(Tabla1[[#This Row],[HORA]])</f>
        <v>14</v>
      </c>
      <c r="O137" s="12">
        <v>23</v>
      </c>
      <c r="P137" s="12">
        <v>19</v>
      </c>
      <c r="Q137" s="10">
        <v>0.59956018518518517</v>
      </c>
      <c r="R137" s="11">
        <v>0.60006944444444443</v>
      </c>
      <c r="S137" s="10">
        <f t="shared" si="6"/>
        <v>3.472222222222765E-5</v>
      </c>
      <c r="T137" s="59">
        <f>R137-Q137</f>
        <v>5.0925925925926485E-4</v>
      </c>
      <c r="U137" s="12" t="s">
        <v>251</v>
      </c>
      <c r="V137" s="7" t="s">
        <v>71</v>
      </c>
      <c r="W137" s="7" t="s">
        <v>39</v>
      </c>
      <c r="X137" s="7" t="s">
        <v>71</v>
      </c>
      <c r="Y137" s="37">
        <v>465411</v>
      </c>
      <c r="Z137" s="41">
        <v>0</v>
      </c>
      <c r="AA137" s="12" t="s">
        <v>41</v>
      </c>
      <c r="AB137" s="12" t="s">
        <v>42</v>
      </c>
      <c r="AC137" s="12" t="s">
        <v>37</v>
      </c>
      <c r="AD137" s="36" t="s">
        <v>43</v>
      </c>
      <c r="AE137" s="13" t="s">
        <v>252</v>
      </c>
    </row>
    <row r="138" spans="1:31">
      <c r="A138" s="5">
        <v>100126</v>
      </c>
      <c r="B138" s="6">
        <v>6665</v>
      </c>
      <c r="C138" s="6">
        <v>1803</v>
      </c>
      <c r="D138" s="6" t="s">
        <v>32</v>
      </c>
      <c r="E138" s="6" t="s">
        <v>253</v>
      </c>
      <c r="F138" s="6" t="s">
        <v>34</v>
      </c>
      <c r="G138" s="6" t="s">
        <v>254</v>
      </c>
      <c r="H138" s="7" t="s">
        <v>255</v>
      </c>
      <c r="I138" s="8">
        <v>45792</v>
      </c>
      <c r="J138" s="46" t="str">
        <f>TEXT(Tabla1[[#This Row],[FECHA EVENTO]],"dddd")</f>
        <v>jueves</v>
      </c>
      <c r="K138" s="9" t="str">
        <f>TEXT(Tabla1[[#This Row],[FECHA EVENTO]], "[$-es-ES]mmmm")</f>
        <v>mayo</v>
      </c>
      <c r="L138" s="9">
        <f>YEAR(Tabla1[[#This Row],[FECHA EVENTO]])</f>
        <v>2025</v>
      </c>
      <c r="M138" s="47">
        <v>9.4560185185185192E-2</v>
      </c>
      <c r="N138" s="12">
        <f>HOUR(Tabla1[[#This Row],[HORA]])</f>
        <v>2</v>
      </c>
      <c r="O138" s="12">
        <v>16</v>
      </c>
      <c r="P138" s="12">
        <v>10</v>
      </c>
      <c r="Q138" s="10">
        <v>9.4675925925925927E-2</v>
      </c>
      <c r="R138" s="10">
        <v>0.10922453703703704</v>
      </c>
      <c r="S138" s="10">
        <f t="shared" si="6"/>
        <v>1.157407407407357E-4</v>
      </c>
      <c r="T138" s="59">
        <f>R138-Q138</f>
        <v>1.4548611111111109E-2</v>
      </c>
      <c r="U138" s="12" t="s">
        <v>152</v>
      </c>
      <c r="V138" s="7" t="s">
        <v>75</v>
      </c>
      <c r="W138" s="7" t="s">
        <v>32</v>
      </c>
      <c r="X138" s="7" t="s">
        <v>75</v>
      </c>
      <c r="Y138" s="37">
        <v>0</v>
      </c>
      <c r="Z138" s="41">
        <v>0</v>
      </c>
      <c r="AA138" s="12" t="s">
        <v>41</v>
      </c>
      <c r="AB138" s="12" t="s">
        <v>42</v>
      </c>
      <c r="AC138" s="12" t="s">
        <v>37</v>
      </c>
      <c r="AD138" s="36" t="s">
        <v>43</v>
      </c>
      <c r="AE138" s="13"/>
    </row>
    <row r="139" spans="1:31">
      <c r="A139" s="5">
        <v>100127</v>
      </c>
      <c r="B139" s="17">
        <v>8615</v>
      </c>
      <c r="C139" s="17">
        <v>3304</v>
      </c>
      <c r="D139" s="17" t="s">
        <v>104</v>
      </c>
      <c r="E139" s="17" t="s">
        <v>51</v>
      </c>
      <c r="F139" s="17" t="s">
        <v>81</v>
      </c>
      <c r="G139" s="17" t="s">
        <v>256</v>
      </c>
      <c r="H139" s="18" t="s">
        <v>47</v>
      </c>
      <c r="I139" s="24">
        <v>45805</v>
      </c>
      <c r="J139" s="46" t="str">
        <f>TEXT(Tabla1[[#This Row],[FECHA EVENTO]],"dddd")</f>
        <v>miércoles</v>
      </c>
      <c r="K139" s="9" t="str">
        <f>TEXT(Tabla1[[#This Row],[FECHA EVENTO]], "[$-es-ES]mmmm")</f>
        <v>mayo</v>
      </c>
      <c r="L139" s="19">
        <f>YEAR(Tabla1[[#This Row],[FECHA EVENTO]])</f>
        <v>2025</v>
      </c>
      <c r="M139" s="50">
        <v>0.96792824074074069</v>
      </c>
      <c r="N139" s="21">
        <f>HOUR(Tabla1[[#This Row],[HORA]])</f>
        <v>23</v>
      </c>
      <c r="O139" s="21">
        <v>13</v>
      </c>
      <c r="P139" s="21">
        <v>49</v>
      </c>
      <c r="Q139" s="20">
        <v>0.96797453703703706</v>
      </c>
      <c r="R139" s="20">
        <v>0.97430555555555554</v>
      </c>
      <c r="S139" s="10">
        <f t="shared" si="6"/>
        <v>4.6296296296377548E-5</v>
      </c>
      <c r="T139" s="61">
        <v>6.9444444444444441E-3</v>
      </c>
      <c r="U139" s="21" t="s">
        <v>152</v>
      </c>
      <c r="V139" s="7" t="s">
        <v>38</v>
      </c>
      <c r="W139" s="18" t="s">
        <v>54</v>
      </c>
      <c r="X139" s="7" t="s">
        <v>49</v>
      </c>
      <c r="Y139" s="37">
        <v>0</v>
      </c>
      <c r="Z139" s="41">
        <v>0</v>
      </c>
      <c r="AA139" s="21" t="s">
        <v>152</v>
      </c>
      <c r="AB139" s="12" t="s">
        <v>42</v>
      </c>
      <c r="AC139" s="21" t="s">
        <v>37</v>
      </c>
      <c r="AD139" s="36" t="s">
        <v>43</v>
      </c>
      <c r="AE139" s="22" t="s">
        <v>257</v>
      </c>
    </row>
    <row r="140" spans="1:31">
      <c r="A140" s="5">
        <v>100128</v>
      </c>
      <c r="B140" s="17">
        <v>6665</v>
      </c>
      <c r="C140" s="17">
        <v>1803</v>
      </c>
      <c r="D140" s="17" t="s">
        <v>32</v>
      </c>
      <c r="E140" s="17" t="s">
        <v>253</v>
      </c>
      <c r="F140" s="17" t="s">
        <v>34</v>
      </c>
      <c r="G140" s="17" t="s">
        <v>254</v>
      </c>
      <c r="H140" s="18" t="s">
        <v>255</v>
      </c>
      <c r="I140" s="24">
        <v>45821</v>
      </c>
      <c r="J140" s="46" t="str">
        <f>TEXT(Tabla1[[#This Row],[FECHA EVENTO]],"dddd")</f>
        <v>viernes</v>
      </c>
      <c r="K140" s="9" t="str">
        <f>TEXT(Tabla1[[#This Row],[FECHA EVENTO]], "[$-es-ES]mmmm")</f>
        <v>junio</v>
      </c>
      <c r="L140" s="19">
        <f>YEAR(Tabla1[[#This Row],[FECHA EVENTO]])</f>
        <v>2025</v>
      </c>
      <c r="M140" s="50">
        <v>0.22009259259259259</v>
      </c>
      <c r="N140" s="21">
        <f>HOUR(Tabla1[[#This Row],[HORA]])</f>
        <v>5</v>
      </c>
      <c r="O140" s="21">
        <v>16</v>
      </c>
      <c r="P140" s="21">
        <v>56</v>
      </c>
      <c r="Q140" s="20">
        <v>0.22015046296296295</v>
      </c>
      <c r="R140" s="20">
        <v>0.23444444444444446</v>
      </c>
      <c r="S140" s="20">
        <f t="shared" si="6"/>
        <v>5.7870370370360913E-5</v>
      </c>
      <c r="T140" s="61">
        <f t="shared" ref="T140:T151" si="8">R140-Q140</f>
        <v>1.4293981481481505E-2</v>
      </c>
      <c r="U140" s="21" t="s">
        <v>37</v>
      </c>
      <c r="V140" s="7" t="s">
        <v>232</v>
      </c>
      <c r="W140" s="18" t="s">
        <v>32</v>
      </c>
      <c r="X140" s="18" t="s">
        <v>112</v>
      </c>
      <c r="Y140" s="37">
        <v>0</v>
      </c>
      <c r="Z140" s="41">
        <v>0</v>
      </c>
      <c r="AA140" s="21" t="s">
        <v>41</v>
      </c>
      <c r="AB140" s="12" t="s">
        <v>42</v>
      </c>
      <c r="AC140" s="21"/>
      <c r="AD140" s="36" t="s">
        <v>43</v>
      </c>
      <c r="AE140" s="22" t="s">
        <v>258</v>
      </c>
    </row>
    <row r="141" spans="1:31">
      <c r="A141" s="5">
        <v>100129</v>
      </c>
      <c r="B141" s="17">
        <v>8467</v>
      </c>
      <c r="C141" s="17">
        <v>5579</v>
      </c>
      <c r="D141" s="17" t="s">
        <v>32</v>
      </c>
      <c r="E141" s="17" t="s">
        <v>51</v>
      </c>
      <c r="F141" s="17" t="s">
        <v>34</v>
      </c>
      <c r="G141" s="6" t="s">
        <v>146</v>
      </c>
      <c r="H141" s="18" t="s">
        <v>259</v>
      </c>
      <c r="I141" s="24">
        <v>45838</v>
      </c>
      <c r="J141" s="46" t="str">
        <f>TEXT(Tabla1[[#This Row],[FECHA EVENTO]],"dddd")</f>
        <v>lunes</v>
      </c>
      <c r="K141" s="9" t="str">
        <f>TEXT(Tabla1[[#This Row],[FECHA EVENTO]], "[$-es-ES]mmmm")</f>
        <v>junio</v>
      </c>
      <c r="L141" s="19">
        <f>YEAR(Tabla1[[#This Row],[FECHA EVENTO]])</f>
        <v>2025</v>
      </c>
      <c r="M141" s="50">
        <v>0.18182870370370371</v>
      </c>
      <c r="N141" s="21">
        <f>HOUR(Tabla1[[#This Row],[HORA]])</f>
        <v>4</v>
      </c>
      <c r="O141" s="21">
        <v>21</v>
      </c>
      <c r="P141" s="21">
        <v>50</v>
      </c>
      <c r="Q141" s="20">
        <v>0.18190972222222221</v>
      </c>
      <c r="R141" s="20">
        <v>0.19583333333333333</v>
      </c>
      <c r="S141" s="20">
        <f t="shared" si="6"/>
        <v>8.1018518518494176E-5</v>
      </c>
      <c r="T141" s="61">
        <f t="shared" si="8"/>
        <v>1.3923611111111123E-2</v>
      </c>
      <c r="U141" s="21" t="s">
        <v>37</v>
      </c>
      <c r="V141" s="7" t="s">
        <v>232</v>
      </c>
      <c r="W141" s="18" t="s">
        <v>32</v>
      </c>
      <c r="X141" s="18" t="s">
        <v>112</v>
      </c>
      <c r="Y141" s="37">
        <v>0</v>
      </c>
      <c r="Z141" s="41">
        <v>0</v>
      </c>
      <c r="AA141" s="21"/>
      <c r="AB141" s="12" t="s">
        <v>42</v>
      </c>
      <c r="AC141" s="21"/>
      <c r="AD141" s="36" t="s">
        <v>43</v>
      </c>
      <c r="AE141" s="22" t="s">
        <v>258</v>
      </c>
    </row>
    <row r="142" spans="1:31">
      <c r="A142" s="5">
        <v>100130</v>
      </c>
      <c r="B142" s="17">
        <v>9720</v>
      </c>
      <c r="C142" s="17">
        <v>81</v>
      </c>
      <c r="D142" s="17" t="s">
        <v>32</v>
      </c>
      <c r="E142" s="17" t="s">
        <v>51</v>
      </c>
      <c r="F142" s="17" t="s">
        <v>231</v>
      </c>
      <c r="G142" s="17" t="s">
        <v>260</v>
      </c>
      <c r="H142" s="18" t="s">
        <v>47</v>
      </c>
      <c r="I142" s="24">
        <v>45862</v>
      </c>
      <c r="J142" s="46" t="str">
        <f>TEXT(Tabla1[[#This Row],[FECHA EVENTO]],"dddd")</f>
        <v>jueves</v>
      </c>
      <c r="K142" s="9" t="str">
        <f>TEXT(Tabla1[[#This Row],[FECHA EVENTO]], "[$-es-ES]mmmm")</f>
        <v>julio</v>
      </c>
      <c r="L142" s="19">
        <f>YEAR(Tabla1[[#This Row],[FECHA EVENTO]])</f>
        <v>2025</v>
      </c>
      <c r="M142" s="50">
        <v>0.33754629629629629</v>
      </c>
      <c r="N142" s="21">
        <f>HOUR(Tabla1[[#This Row],[HORA]])</f>
        <v>8</v>
      </c>
      <c r="O142" s="21">
        <v>6</v>
      </c>
      <c r="P142" s="21">
        <v>4</v>
      </c>
      <c r="Q142" s="20">
        <v>0.33759259259259261</v>
      </c>
      <c r="R142" s="20">
        <v>0.34513888888888888</v>
      </c>
      <c r="S142" s="20">
        <f t="shared" si="6"/>
        <v>4.6296296296322037E-5</v>
      </c>
      <c r="T142" s="61">
        <f t="shared" si="8"/>
        <v>7.5462962962962732E-3</v>
      </c>
      <c r="U142" s="21" t="s">
        <v>37</v>
      </c>
      <c r="V142" s="7" t="s">
        <v>61</v>
      </c>
      <c r="W142" s="18" t="s">
        <v>62</v>
      </c>
      <c r="X142" s="18" t="s">
        <v>63</v>
      </c>
      <c r="Y142" s="37">
        <v>0</v>
      </c>
      <c r="Z142" s="43">
        <v>158520000</v>
      </c>
      <c r="AA142" s="21" t="s">
        <v>41</v>
      </c>
      <c r="AB142" s="12" t="s">
        <v>42</v>
      </c>
      <c r="AC142" s="12" t="s">
        <v>42</v>
      </c>
      <c r="AD142" s="36" t="s">
        <v>43</v>
      </c>
      <c r="AE142" s="13" t="s">
        <v>50</v>
      </c>
    </row>
    <row r="143" spans="1:31">
      <c r="A143" s="5">
        <v>100131</v>
      </c>
      <c r="B143" s="6">
        <v>7922</v>
      </c>
      <c r="C143" s="6">
        <v>5735</v>
      </c>
      <c r="D143" s="17" t="s">
        <v>32</v>
      </c>
      <c r="E143" s="17" t="s">
        <v>51</v>
      </c>
      <c r="F143" s="6" t="s">
        <v>81</v>
      </c>
      <c r="G143" s="6" t="s">
        <v>261</v>
      </c>
      <c r="H143" s="7" t="s">
        <v>255</v>
      </c>
      <c r="I143" s="8">
        <v>45890</v>
      </c>
      <c r="J143" s="46" t="str">
        <f>TEXT(Tabla1[[#This Row],[FECHA EVENTO]],"dddd")</f>
        <v>jueves</v>
      </c>
      <c r="K143" s="9" t="str">
        <f>TEXT(Tabla1[[#This Row],[FECHA EVENTO]], "[$-es-ES]mmmm")</f>
        <v>agosto</v>
      </c>
      <c r="L143" s="9">
        <f>YEAR(Tabla1[[#This Row],[FECHA EVENTO]])</f>
        <v>2025</v>
      </c>
      <c r="M143" s="47">
        <v>0.11547453703703703</v>
      </c>
      <c r="N143" s="12">
        <f>HOUR(Tabla1[[#This Row],[HORA]])</f>
        <v>2</v>
      </c>
      <c r="O143" s="12">
        <v>43</v>
      </c>
      <c r="P143" s="12">
        <v>17</v>
      </c>
      <c r="Q143" s="10">
        <v>0.11574074074074074</v>
      </c>
      <c r="R143" s="20">
        <v>0.12430555555555556</v>
      </c>
      <c r="S143" s="20">
        <f t="shared" si="6"/>
        <v>2.6620370370371294E-4</v>
      </c>
      <c r="T143" s="61">
        <f t="shared" si="8"/>
        <v>8.5648148148148168E-3</v>
      </c>
      <c r="U143" s="12" t="s">
        <v>41</v>
      </c>
      <c r="V143" s="18" t="s">
        <v>38</v>
      </c>
      <c r="W143" s="18" t="s">
        <v>54</v>
      </c>
      <c r="X143" s="7" t="s">
        <v>49</v>
      </c>
      <c r="Y143" s="37">
        <v>0</v>
      </c>
      <c r="Z143" s="41">
        <v>0</v>
      </c>
      <c r="AA143" s="12"/>
      <c r="AB143" s="12" t="s">
        <v>42</v>
      </c>
      <c r="AC143" s="12"/>
      <c r="AD143" s="36" t="s">
        <v>43</v>
      </c>
      <c r="AE143" s="13"/>
    </row>
    <row r="144" spans="1:31">
      <c r="A144" s="5">
        <v>100132</v>
      </c>
      <c r="B144" s="17">
        <v>1496</v>
      </c>
      <c r="C144" s="6">
        <v>496</v>
      </c>
      <c r="D144" s="6" t="s">
        <v>39</v>
      </c>
      <c r="E144" s="6" t="s">
        <v>39</v>
      </c>
      <c r="F144" s="6" t="s">
        <v>39</v>
      </c>
      <c r="G144" s="6" t="s">
        <v>262</v>
      </c>
      <c r="H144" s="7" t="s">
        <v>263</v>
      </c>
      <c r="I144" s="8">
        <v>45915</v>
      </c>
      <c r="J144" s="46" t="str">
        <f>TEXT(Tabla1[[#This Row],[FECHA EVENTO]],"dddd")</f>
        <v>lunes</v>
      </c>
      <c r="K144" s="9" t="str">
        <f>TEXT(Tabla1[[#This Row],[FECHA EVENTO]], "[$-es-ES]mmmm")</f>
        <v>septiembre</v>
      </c>
      <c r="L144" s="9">
        <f>YEAR(Tabla1[[#This Row],[FECHA EVENTO]])</f>
        <v>2025</v>
      </c>
      <c r="M144" s="47">
        <v>0.4427314814814815</v>
      </c>
      <c r="N144" s="12">
        <f>HOUR(Tabla1[[#This Row],[HORA]])</f>
        <v>10</v>
      </c>
      <c r="O144" s="12">
        <v>37</v>
      </c>
      <c r="P144" s="12">
        <v>32</v>
      </c>
      <c r="Q144" s="10">
        <v>0.44282407407407409</v>
      </c>
      <c r="R144" s="10">
        <v>0.4465277777777778</v>
      </c>
      <c r="S144" s="20">
        <f t="shared" si="6"/>
        <v>9.2592592592588563E-5</v>
      </c>
      <c r="T144" s="61">
        <f t="shared" si="8"/>
        <v>3.703703703703709E-3</v>
      </c>
      <c r="U144" s="12" t="s">
        <v>37</v>
      </c>
      <c r="V144" s="7" t="s">
        <v>71</v>
      </c>
      <c r="W144" s="7" t="s">
        <v>39</v>
      </c>
      <c r="X144" s="7" t="s">
        <v>71</v>
      </c>
      <c r="Y144" s="37">
        <v>0</v>
      </c>
      <c r="Z144" s="42">
        <v>13528000</v>
      </c>
      <c r="AA144" s="12"/>
      <c r="AB144" s="12" t="s">
        <v>42</v>
      </c>
      <c r="AC144" s="12" t="s">
        <v>42</v>
      </c>
      <c r="AD144" s="36" t="s">
        <v>43</v>
      </c>
      <c r="AE144" s="13" t="s">
        <v>264</v>
      </c>
    </row>
    <row r="145" spans="1:31">
      <c r="A145" s="5">
        <v>100133</v>
      </c>
      <c r="B145" s="17">
        <v>1310</v>
      </c>
      <c r="C145" s="17">
        <v>310</v>
      </c>
      <c r="D145" s="17" t="s">
        <v>39</v>
      </c>
      <c r="E145" s="17" t="s">
        <v>39</v>
      </c>
      <c r="F145" s="17" t="s">
        <v>39</v>
      </c>
      <c r="G145" s="17" t="s">
        <v>265</v>
      </c>
      <c r="H145" s="18" t="s">
        <v>235</v>
      </c>
      <c r="I145" s="24">
        <v>45915</v>
      </c>
      <c r="J145" s="46" t="str">
        <f>TEXT(Tabla1[[#This Row],[FECHA EVENTO]],"dddd")</f>
        <v>lunes</v>
      </c>
      <c r="K145" s="9" t="str">
        <f>TEXT(Tabla1[[#This Row],[FECHA EVENTO]], "[$-es-ES]mmmm")</f>
        <v>septiembre</v>
      </c>
      <c r="L145" s="19">
        <f>YEAR(Tabla1[[#This Row],[FECHA EVENTO]])</f>
        <v>2025</v>
      </c>
      <c r="M145" s="50">
        <v>0.59952546296296294</v>
      </c>
      <c r="N145" s="21">
        <f>HOUR(Tabla1[[#This Row],[HORA]])</f>
        <v>14</v>
      </c>
      <c r="O145" s="21">
        <v>23</v>
      </c>
      <c r="P145" s="21">
        <v>19</v>
      </c>
      <c r="Q145" s="20">
        <v>0.59964120370370366</v>
      </c>
      <c r="R145" s="20">
        <v>0.60162037037037031</v>
      </c>
      <c r="S145" s="20">
        <f t="shared" si="6"/>
        <v>1.1574074074072183E-4</v>
      </c>
      <c r="T145" s="61">
        <f t="shared" si="8"/>
        <v>1.979166666666643E-3</v>
      </c>
      <c r="U145" s="21" t="s">
        <v>41</v>
      </c>
      <c r="V145" s="7" t="s">
        <v>71</v>
      </c>
      <c r="W145" s="7" t="s">
        <v>39</v>
      </c>
      <c r="X145" s="7" t="s">
        <v>71</v>
      </c>
      <c r="Y145" s="38">
        <v>563420</v>
      </c>
      <c r="Z145" s="41">
        <v>0</v>
      </c>
      <c r="AA145" s="21" t="s">
        <v>37</v>
      </c>
      <c r="AB145" s="12" t="s">
        <v>42</v>
      </c>
      <c r="AC145" s="21"/>
      <c r="AD145" s="36" t="s">
        <v>43</v>
      </c>
      <c r="AE145" s="22" t="s">
        <v>264</v>
      </c>
    </row>
    <row r="146" spans="1:31">
      <c r="A146" s="5">
        <v>100134</v>
      </c>
      <c r="B146" s="17">
        <v>9576</v>
      </c>
      <c r="C146" s="17">
        <v>2359</v>
      </c>
      <c r="D146" s="17" t="s">
        <v>32</v>
      </c>
      <c r="E146" s="6" t="s">
        <v>51</v>
      </c>
      <c r="F146" s="17" t="s">
        <v>231</v>
      </c>
      <c r="G146" s="17" t="s">
        <v>266</v>
      </c>
      <c r="H146" s="18" t="s">
        <v>267</v>
      </c>
      <c r="I146" s="24">
        <v>45931</v>
      </c>
      <c r="J146" s="46" t="str">
        <f>TEXT(Tabla1[[#This Row],[FECHA EVENTO]],"dddd")</f>
        <v>miércoles</v>
      </c>
      <c r="K146" s="9" t="str">
        <f>TEXT(Tabla1[[#This Row],[FECHA EVENTO]], "[$-es-ES]mmmm")</f>
        <v>octubre</v>
      </c>
      <c r="L146" s="19">
        <f>YEAR(Tabla1[[#This Row],[FECHA EVENTO]])</f>
        <v>2025</v>
      </c>
      <c r="M146" s="50">
        <v>0.89038194444444441</v>
      </c>
      <c r="N146" s="21">
        <f>HOUR(Tabla1[[#This Row],[HORA]])</f>
        <v>21</v>
      </c>
      <c r="O146" s="21">
        <v>22</v>
      </c>
      <c r="P146" s="21">
        <v>9</v>
      </c>
      <c r="Q146" s="20">
        <v>0.89075231481481476</v>
      </c>
      <c r="R146" s="26">
        <v>0.92152777777777772</v>
      </c>
      <c r="S146" s="20">
        <f t="shared" si="6"/>
        <v>3.7037037037035425E-4</v>
      </c>
      <c r="T146" s="61">
        <f t="shared" si="8"/>
        <v>3.0775462962962963E-2</v>
      </c>
      <c r="U146" s="21" t="s">
        <v>37</v>
      </c>
      <c r="V146" s="7" t="s">
        <v>61</v>
      </c>
      <c r="W146" s="18" t="s">
        <v>62</v>
      </c>
      <c r="X146" s="18" t="s">
        <v>63</v>
      </c>
      <c r="Y146" s="38">
        <v>750000</v>
      </c>
      <c r="Z146" s="43">
        <v>216270</v>
      </c>
      <c r="AA146" s="21" t="s">
        <v>268</v>
      </c>
      <c r="AB146" s="12" t="s">
        <v>42</v>
      </c>
      <c r="AC146" s="12" t="s">
        <v>42</v>
      </c>
      <c r="AD146" s="36" t="s">
        <v>43</v>
      </c>
      <c r="AE146" s="22" t="s">
        <v>269</v>
      </c>
    </row>
    <row r="147" spans="1:31">
      <c r="A147" s="5">
        <v>100135</v>
      </c>
      <c r="B147" s="17">
        <v>8459</v>
      </c>
      <c r="C147" s="17">
        <v>4051</v>
      </c>
      <c r="D147" s="17" t="s">
        <v>32</v>
      </c>
      <c r="E147" s="17" t="s">
        <v>51</v>
      </c>
      <c r="F147" s="17" t="s">
        <v>231</v>
      </c>
      <c r="G147" s="17" t="s">
        <v>270</v>
      </c>
      <c r="H147" s="18" t="s">
        <v>271</v>
      </c>
      <c r="I147" s="24">
        <v>45938</v>
      </c>
      <c r="J147" s="46" t="str">
        <f>TEXT(Tabla1[[#This Row],[FECHA EVENTO]],"dddd")</f>
        <v>miércoles</v>
      </c>
      <c r="K147" s="9" t="str">
        <f>TEXT(Tabla1[[#This Row],[FECHA EVENTO]], "[$-es-ES]mmmm")</f>
        <v>octubre</v>
      </c>
      <c r="L147" s="19">
        <f>YEAR(Tabla1[[#This Row],[FECHA EVENTO]])</f>
        <v>2025</v>
      </c>
      <c r="M147" s="50">
        <v>0.28202546296296299</v>
      </c>
      <c r="N147" s="21">
        <f>HOUR(Tabla1[[#This Row],[HORA]])</f>
        <v>6</v>
      </c>
      <c r="O147" s="21">
        <v>46</v>
      </c>
      <c r="P147" s="21">
        <v>7</v>
      </c>
      <c r="Q147" s="20">
        <v>0.28207175925925926</v>
      </c>
      <c r="R147" s="20">
        <v>0.28456018518518517</v>
      </c>
      <c r="S147" s="20">
        <f t="shared" si="6"/>
        <v>4.6296296296266526E-5</v>
      </c>
      <c r="T147" s="61">
        <f t="shared" si="8"/>
        <v>2.4884259259259078E-3</v>
      </c>
      <c r="U147" s="21" t="s">
        <v>37</v>
      </c>
      <c r="V147" s="7" t="s">
        <v>61</v>
      </c>
      <c r="W147" s="18" t="s">
        <v>62</v>
      </c>
      <c r="X147" s="18" t="s">
        <v>272</v>
      </c>
      <c r="Y147" s="37">
        <v>0</v>
      </c>
      <c r="Z147" s="43">
        <v>315370000</v>
      </c>
      <c r="AA147" s="21" t="s">
        <v>152</v>
      </c>
      <c r="AB147" s="12" t="s">
        <v>42</v>
      </c>
      <c r="AC147" s="12" t="s">
        <v>42</v>
      </c>
      <c r="AD147" s="36" t="s">
        <v>43</v>
      </c>
      <c r="AE147" s="22" t="s">
        <v>269</v>
      </c>
    </row>
    <row r="148" spans="1:31">
      <c r="A148" s="5">
        <v>100136</v>
      </c>
      <c r="B148" s="17">
        <v>7771</v>
      </c>
      <c r="C148" s="17">
        <v>3111</v>
      </c>
      <c r="D148" s="17" t="s">
        <v>32</v>
      </c>
      <c r="E148" s="17" t="s">
        <v>51</v>
      </c>
      <c r="F148" s="17" t="s">
        <v>231</v>
      </c>
      <c r="G148" s="17" t="s">
        <v>273</v>
      </c>
      <c r="H148" s="18" t="s">
        <v>271</v>
      </c>
      <c r="I148" s="24">
        <v>45943</v>
      </c>
      <c r="J148" s="46" t="str">
        <f>TEXT(Tabla1[[#This Row],[FECHA EVENTO]],"dddd")</f>
        <v>lunes</v>
      </c>
      <c r="K148" s="9" t="str">
        <f>TEXT(Tabla1[[#This Row],[FECHA EVENTO]], "[$-es-ES]mmmm")</f>
        <v>octubre</v>
      </c>
      <c r="L148" s="19">
        <f>YEAR(Tabla1[[#This Row],[FECHA EVENTO]])</f>
        <v>2025</v>
      </c>
      <c r="M148" s="50">
        <v>0.80506944444444439</v>
      </c>
      <c r="N148" s="21">
        <f>HOUR(Tabla1[[#This Row],[HORA]])</f>
        <v>19</v>
      </c>
      <c r="O148" s="21">
        <v>19</v>
      </c>
      <c r="P148" s="21">
        <v>18</v>
      </c>
      <c r="Q148" s="20">
        <v>0.80533564814814806</v>
      </c>
      <c r="R148" s="26">
        <v>0.8208333333333333</v>
      </c>
      <c r="S148" s="20">
        <f t="shared" si="6"/>
        <v>2.662037037036713E-4</v>
      </c>
      <c r="T148" s="61">
        <f t="shared" si="8"/>
        <v>1.5497685185185239E-2</v>
      </c>
      <c r="U148" s="21" t="s">
        <v>152</v>
      </c>
      <c r="V148" s="7" t="s">
        <v>38</v>
      </c>
      <c r="W148" s="7" t="s">
        <v>32</v>
      </c>
      <c r="X148" s="18" t="s">
        <v>49</v>
      </c>
      <c r="Y148" s="38">
        <v>323870000</v>
      </c>
      <c r="Z148" s="41">
        <v>0</v>
      </c>
      <c r="AA148" s="21" t="s">
        <v>152</v>
      </c>
      <c r="AB148" s="12" t="s">
        <v>42</v>
      </c>
      <c r="AC148" s="21"/>
      <c r="AD148" s="36" t="s">
        <v>43</v>
      </c>
      <c r="AE148" s="22" t="s">
        <v>274</v>
      </c>
    </row>
    <row r="149" spans="1:31">
      <c r="A149" s="5">
        <v>100137</v>
      </c>
      <c r="B149" s="17">
        <v>7771</v>
      </c>
      <c r="C149" s="17">
        <v>3140</v>
      </c>
      <c r="D149" s="17" t="s">
        <v>32</v>
      </c>
      <c r="E149" s="17" t="s">
        <v>145</v>
      </c>
      <c r="F149" s="17" t="s">
        <v>39</v>
      </c>
      <c r="G149" s="17" t="s">
        <v>273</v>
      </c>
      <c r="H149" s="18" t="s">
        <v>271</v>
      </c>
      <c r="I149" s="24">
        <v>45943</v>
      </c>
      <c r="J149" s="46" t="str">
        <f>TEXT(Tabla1[[#This Row],[FECHA EVENTO]],"dddd")</f>
        <v>lunes</v>
      </c>
      <c r="K149" s="9" t="str">
        <f>TEXT(Tabla1[[#This Row],[FECHA EVENTO]], "[$-es-ES]mmmm")</f>
        <v>octubre</v>
      </c>
      <c r="L149" s="19">
        <f>YEAR(Tabla1[[#This Row],[FECHA EVENTO]])</f>
        <v>2025</v>
      </c>
      <c r="M149" s="50">
        <v>0.80638888888888882</v>
      </c>
      <c r="N149" s="21">
        <f>HOUR(Tabla1[[#This Row],[HORA]])</f>
        <v>19</v>
      </c>
      <c r="O149" s="21">
        <v>21</v>
      </c>
      <c r="P149" s="21">
        <v>12</v>
      </c>
      <c r="Q149" s="20">
        <v>0.80644675925925924</v>
      </c>
      <c r="R149" s="26">
        <v>0.8208333333333333</v>
      </c>
      <c r="S149" s="20">
        <f t="shared" si="6"/>
        <v>5.7870370370416424E-5</v>
      </c>
      <c r="T149" s="61">
        <f t="shared" si="8"/>
        <v>1.4386574074074066E-2</v>
      </c>
      <c r="U149" s="21" t="s">
        <v>152</v>
      </c>
      <c r="V149" s="7" t="s">
        <v>38</v>
      </c>
      <c r="W149" s="18" t="s">
        <v>54</v>
      </c>
      <c r="X149" s="7" t="s">
        <v>49</v>
      </c>
      <c r="Y149" s="38">
        <v>339840000</v>
      </c>
      <c r="Z149" s="41">
        <v>0</v>
      </c>
      <c r="AA149" s="21" t="s">
        <v>152</v>
      </c>
      <c r="AB149" s="12" t="s">
        <v>42</v>
      </c>
      <c r="AC149" s="21"/>
      <c r="AD149" s="36" t="s">
        <v>43</v>
      </c>
      <c r="AE149" s="22" t="s">
        <v>274</v>
      </c>
    </row>
    <row r="150" spans="1:31">
      <c r="A150" s="5">
        <v>100138</v>
      </c>
      <c r="B150" s="17">
        <v>6923</v>
      </c>
      <c r="C150" s="17">
        <v>9863</v>
      </c>
      <c r="D150" s="17" t="s">
        <v>32</v>
      </c>
      <c r="E150" s="17" t="s">
        <v>51</v>
      </c>
      <c r="F150" s="17" t="s">
        <v>231</v>
      </c>
      <c r="G150" s="17" t="s">
        <v>275</v>
      </c>
      <c r="H150" s="18" t="s">
        <v>267</v>
      </c>
      <c r="I150" s="24">
        <v>45942</v>
      </c>
      <c r="J150" s="46" t="str">
        <f>TEXT(Tabla1[[#This Row],[FECHA EVENTO]],"dddd")</f>
        <v>domingo</v>
      </c>
      <c r="K150" s="9" t="str">
        <f>TEXT(Tabla1[[#This Row],[FECHA EVENTO]], "[$-es-ES]mmmm")</f>
        <v>octubre</v>
      </c>
      <c r="L150" s="19">
        <f>YEAR(Tabla1[[#This Row],[FECHA EVENTO]])</f>
        <v>2025</v>
      </c>
      <c r="M150" s="50">
        <v>0.26152777777777775</v>
      </c>
      <c r="N150" s="21">
        <f>HOUR(Tabla1[[#This Row],[HORA]])</f>
        <v>6</v>
      </c>
      <c r="O150" s="21">
        <v>16</v>
      </c>
      <c r="P150" s="21">
        <v>36</v>
      </c>
      <c r="Q150" s="20">
        <v>0.26157407407407407</v>
      </c>
      <c r="R150" s="26">
        <v>0.27569444444444446</v>
      </c>
      <c r="S150" s="20">
        <f t="shared" si="6"/>
        <v>4.6296296296322037E-5</v>
      </c>
      <c r="T150" s="61">
        <f t="shared" si="8"/>
        <v>1.4120370370370394E-2</v>
      </c>
      <c r="U150" s="21" t="s">
        <v>152</v>
      </c>
      <c r="V150" s="7" t="s">
        <v>38</v>
      </c>
      <c r="W150" s="18" t="s">
        <v>54</v>
      </c>
      <c r="X150" s="7" t="s">
        <v>49</v>
      </c>
      <c r="Y150" s="38">
        <v>384320000</v>
      </c>
      <c r="Z150" s="41">
        <v>0</v>
      </c>
      <c r="AA150" s="21" t="s">
        <v>152</v>
      </c>
      <c r="AB150" s="12" t="s">
        <v>42</v>
      </c>
      <c r="AC150" s="21"/>
      <c r="AD150" s="36" t="s">
        <v>43</v>
      </c>
      <c r="AE150" s="22" t="s">
        <v>274</v>
      </c>
    </row>
    <row r="151" spans="1:31">
      <c r="A151" s="5">
        <v>100139</v>
      </c>
      <c r="B151" s="17">
        <v>6996</v>
      </c>
      <c r="C151" s="17">
        <v>8730</v>
      </c>
      <c r="D151" s="17" t="s">
        <v>32</v>
      </c>
      <c r="E151" s="17" t="s">
        <v>51</v>
      </c>
      <c r="F151" s="17" t="s">
        <v>231</v>
      </c>
      <c r="G151" s="17" t="s">
        <v>276</v>
      </c>
      <c r="H151" s="18" t="s">
        <v>267</v>
      </c>
      <c r="I151" s="24">
        <v>45947</v>
      </c>
      <c r="J151" s="46" t="str">
        <f>TEXT(Tabla1[[#This Row],[FECHA EVENTO]],"dddd")</f>
        <v>viernes</v>
      </c>
      <c r="K151" s="9" t="str">
        <f>TEXT(Tabla1[[#This Row],[FECHA EVENTO]], "[$-es-ES]mmmm")</f>
        <v>octubre</v>
      </c>
      <c r="L151" s="19">
        <f>YEAR(Tabla1[[#This Row],[FECHA EVENTO]])</f>
        <v>2025</v>
      </c>
      <c r="M151" s="50">
        <v>0.96387731481481476</v>
      </c>
      <c r="N151" s="21">
        <f>HOUR(Tabla1[[#This Row],[HORA]])</f>
        <v>23</v>
      </c>
      <c r="O151" s="21">
        <v>7</v>
      </c>
      <c r="P151" s="21">
        <v>59</v>
      </c>
      <c r="Q151" s="20">
        <v>0.96393518518518517</v>
      </c>
      <c r="R151" s="20">
        <v>0.96936342592592595</v>
      </c>
      <c r="S151" s="20">
        <f t="shared" si="6"/>
        <v>5.7870370370416424E-5</v>
      </c>
      <c r="T151" s="61">
        <f t="shared" si="8"/>
        <v>5.4282407407407751E-3</v>
      </c>
      <c r="U151" s="21" t="s">
        <v>152</v>
      </c>
      <c r="V151" s="7" t="s">
        <v>38</v>
      </c>
      <c r="W151" s="18" t="s">
        <v>54</v>
      </c>
      <c r="X151" s="7" t="s">
        <v>49</v>
      </c>
      <c r="Y151" s="37">
        <v>0</v>
      </c>
      <c r="Z151" s="41">
        <v>0</v>
      </c>
      <c r="AA151" s="21" t="s">
        <v>152</v>
      </c>
      <c r="AB151" s="12" t="s">
        <v>42</v>
      </c>
      <c r="AC151" s="21"/>
      <c r="AD151" s="36" t="s">
        <v>43</v>
      </c>
      <c r="AE151" s="22" t="s">
        <v>274</v>
      </c>
    </row>
    <row r="152" spans="1:31">
      <c r="A152" s="5">
        <v>100140</v>
      </c>
      <c r="B152" s="17">
        <v>8892</v>
      </c>
      <c r="C152" s="17">
        <v>7622</v>
      </c>
      <c r="D152" s="17" t="s">
        <v>32</v>
      </c>
      <c r="E152" s="17" t="s">
        <v>51</v>
      </c>
      <c r="F152" s="17" t="s">
        <v>231</v>
      </c>
      <c r="G152" s="17" t="s">
        <v>277</v>
      </c>
      <c r="H152" s="18" t="s">
        <v>267</v>
      </c>
      <c r="I152" s="24">
        <v>45960</v>
      </c>
      <c r="J152" s="46" t="str">
        <f>TEXT(Tabla1[[#This Row],[FECHA EVENTO]],"dddd")</f>
        <v>jueves</v>
      </c>
      <c r="K152" s="9" t="str">
        <f>TEXT(Tabla1[[#This Row],[FECHA EVENTO]], "[$-es-ES]mmmm")</f>
        <v>octubre</v>
      </c>
      <c r="L152" s="19">
        <f>YEAR(Tabla1[[#This Row],[FECHA EVENTO]])</f>
        <v>2025</v>
      </c>
      <c r="M152" s="50">
        <v>1.8981481481481481E-2</v>
      </c>
      <c r="N152" s="21">
        <f>HOUR(Tabla1[[#This Row],[HORA]])</f>
        <v>0</v>
      </c>
      <c r="O152" s="21">
        <v>27</v>
      </c>
      <c r="P152" s="21">
        <v>20</v>
      </c>
      <c r="Q152" s="20">
        <v>1.9027777777777779E-2</v>
      </c>
      <c r="R152" s="20">
        <v>4.5717592592592594E-2</v>
      </c>
      <c r="S152" s="20">
        <f t="shared" si="6"/>
        <v>4.6296296296297751E-5</v>
      </c>
      <c r="T152" s="61">
        <f t="shared" si="7"/>
        <v>2.6689814814814816E-2</v>
      </c>
      <c r="U152" s="21" t="s">
        <v>152</v>
      </c>
      <c r="V152" s="7" t="s">
        <v>38</v>
      </c>
      <c r="W152" s="18" t="s">
        <v>62</v>
      </c>
      <c r="X152" s="18" t="s">
        <v>38</v>
      </c>
      <c r="Y152" s="37">
        <v>0</v>
      </c>
      <c r="Z152" s="41">
        <v>0</v>
      </c>
      <c r="AA152" s="21" t="s">
        <v>152</v>
      </c>
      <c r="AB152" s="12" t="s">
        <v>42</v>
      </c>
      <c r="AC152" s="21"/>
      <c r="AD152" s="36" t="s">
        <v>43</v>
      </c>
      <c r="AE152" s="22" t="s">
        <v>274</v>
      </c>
    </row>
    <row r="153" spans="1:31">
      <c r="A153" s="5">
        <v>100141</v>
      </c>
      <c r="B153" s="17">
        <v>8754</v>
      </c>
      <c r="C153" s="17">
        <v>4827</v>
      </c>
      <c r="D153" s="17" t="s">
        <v>32</v>
      </c>
      <c r="E153" s="17" t="s">
        <v>51</v>
      </c>
      <c r="F153" s="17" t="s">
        <v>231</v>
      </c>
      <c r="G153" s="17" t="s">
        <v>278</v>
      </c>
      <c r="H153" s="18" t="s">
        <v>267</v>
      </c>
      <c r="I153" s="24">
        <v>45966</v>
      </c>
      <c r="J153" s="46" t="str">
        <f>TEXT(Tabla1[[#This Row],[FECHA EVENTO]],"dddd")</f>
        <v>miércoles</v>
      </c>
      <c r="K153" s="9" t="str">
        <f>TEXT(Tabla1[[#This Row],[FECHA EVENTO]], "[$-es-ES]mmmm")</f>
        <v>noviembre</v>
      </c>
      <c r="L153" s="19">
        <f>YEAR(Tabla1[[#This Row],[FECHA EVENTO]])</f>
        <v>2025</v>
      </c>
      <c r="M153" s="50">
        <v>6.8217592592592594E-2</v>
      </c>
      <c r="N153" s="21">
        <f>HOUR(Tabla1[[#This Row],[HORA]])</f>
        <v>1</v>
      </c>
      <c r="O153" s="21">
        <v>38</v>
      </c>
      <c r="P153" s="21">
        <v>14</v>
      </c>
      <c r="Q153" s="20">
        <v>6.8333333333333329E-2</v>
      </c>
      <c r="R153" s="20">
        <v>7.3379629629629628E-2</v>
      </c>
      <c r="S153" s="20">
        <f t="shared" si="6"/>
        <v>1.157407407407357E-4</v>
      </c>
      <c r="T153" s="61">
        <f t="shared" si="7"/>
        <v>5.0462962962962987E-3</v>
      </c>
      <c r="U153" s="21" t="s">
        <v>152</v>
      </c>
      <c r="V153" s="7" t="s">
        <v>38</v>
      </c>
      <c r="W153" s="18" t="s">
        <v>230</v>
      </c>
      <c r="X153" s="18" t="s">
        <v>38</v>
      </c>
      <c r="Y153" s="37">
        <v>0</v>
      </c>
      <c r="Z153" s="41">
        <v>0</v>
      </c>
      <c r="AA153" s="21" t="s">
        <v>152</v>
      </c>
      <c r="AB153" s="12" t="s">
        <v>42</v>
      </c>
      <c r="AC153" s="21"/>
      <c r="AD153" s="36" t="s">
        <v>43</v>
      </c>
      <c r="AE153" s="22" t="s">
        <v>274</v>
      </c>
    </row>
    <row r="154" spans="1:31">
      <c r="A154" s="5">
        <v>100142</v>
      </c>
      <c r="B154" s="17">
        <v>8754</v>
      </c>
      <c r="C154" s="6">
        <v>3150</v>
      </c>
      <c r="D154" s="17" t="s">
        <v>32</v>
      </c>
      <c r="E154" s="17" t="s">
        <v>51</v>
      </c>
      <c r="F154" s="17" t="s">
        <v>231</v>
      </c>
      <c r="G154" s="17" t="s">
        <v>278</v>
      </c>
      <c r="H154" s="18" t="s">
        <v>267</v>
      </c>
      <c r="I154" s="24">
        <v>45967</v>
      </c>
      <c r="J154" s="46" t="str">
        <f>TEXT(Tabla1[[#This Row],[FECHA EVENTO]],"dddd")</f>
        <v>jueves</v>
      </c>
      <c r="K154" s="9" t="str">
        <f>TEXT(Tabla1[[#This Row],[FECHA EVENTO]], "[$-es-ES]mmmm")</f>
        <v>noviembre</v>
      </c>
      <c r="L154" s="19">
        <f>YEAR(Tabla1[[#This Row],[FECHA EVENTO]])</f>
        <v>2025</v>
      </c>
      <c r="M154" s="50">
        <v>6.8217592592592594E-2</v>
      </c>
      <c r="N154" s="21">
        <f>HOUR(Tabla1[[#This Row],[HORA]])</f>
        <v>1</v>
      </c>
      <c r="O154" s="21">
        <v>38</v>
      </c>
      <c r="P154" s="21">
        <v>14</v>
      </c>
      <c r="Q154" s="20">
        <v>6.8333333333333329E-2</v>
      </c>
      <c r="R154" s="20">
        <v>7.3379629629629628E-2</v>
      </c>
      <c r="S154" s="20">
        <f t="shared" si="6"/>
        <v>1.157407407407357E-4</v>
      </c>
      <c r="T154" s="61">
        <f t="shared" si="7"/>
        <v>5.0462962962962987E-3</v>
      </c>
      <c r="U154" s="12" t="s">
        <v>152</v>
      </c>
      <c r="V154" s="7" t="s">
        <v>38</v>
      </c>
      <c r="W154" s="18" t="s">
        <v>230</v>
      </c>
      <c r="X154" s="18" t="s">
        <v>38</v>
      </c>
      <c r="Y154" s="37">
        <v>0</v>
      </c>
      <c r="Z154" s="41">
        <v>0</v>
      </c>
      <c r="AA154" s="21" t="s">
        <v>152</v>
      </c>
      <c r="AB154" s="12" t="s">
        <v>42</v>
      </c>
      <c r="AC154" s="12"/>
      <c r="AD154" s="36" t="s">
        <v>43</v>
      </c>
      <c r="AE154" s="22" t="s">
        <v>274</v>
      </c>
    </row>
    <row r="155" spans="1:31">
      <c r="A155" s="5">
        <v>100143</v>
      </c>
      <c r="B155" s="17">
        <v>7488</v>
      </c>
      <c r="C155" s="17">
        <v>5822</v>
      </c>
      <c r="D155" s="17" t="s">
        <v>32</v>
      </c>
      <c r="E155" s="17" t="s">
        <v>253</v>
      </c>
      <c r="F155" s="17" t="s">
        <v>279</v>
      </c>
      <c r="G155" s="6" t="s">
        <v>166</v>
      </c>
      <c r="H155" s="18" t="s">
        <v>255</v>
      </c>
      <c r="I155" s="24">
        <v>45981</v>
      </c>
      <c r="J155" s="46" t="str">
        <f>TEXT(Tabla1[[#This Row],[FECHA EVENTO]],"dddd")</f>
        <v>jueves</v>
      </c>
      <c r="K155" s="9" t="str">
        <f>TEXT(Tabla1[[#This Row],[FECHA EVENTO]], "[$-es-ES]mmmm")</f>
        <v>noviembre</v>
      </c>
      <c r="L155" s="19">
        <f>YEAR(Tabla1[[#This Row],[FECHA EVENTO]])</f>
        <v>2025</v>
      </c>
      <c r="M155" s="50">
        <v>7.9247685185185185E-2</v>
      </c>
      <c r="N155" s="21">
        <f>HOUR(Tabla1[[#This Row],[HORA]])</f>
        <v>1</v>
      </c>
      <c r="O155" s="21">
        <v>54</v>
      </c>
      <c r="P155" s="21">
        <v>7</v>
      </c>
      <c r="Q155" s="20">
        <v>7.9282407407407413E-2</v>
      </c>
      <c r="R155" s="26">
        <v>9.9328703703703697E-2</v>
      </c>
      <c r="S155" s="20">
        <f>Q155-M155</f>
        <v>3.472222222222765E-5</v>
      </c>
      <c r="T155" s="61">
        <f t="shared" si="7"/>
        <v>2.0046296296296284E-2</v>
      </c>
      <c r="U155" s="21" t="s">
        <v>152</v>
      </c>
      <c r="V155" s="18" t="s">
        <v>38</v>
      </c>
      <c r="W155" s="18" t="s">
        <v>32</v>
      </c>
      <c r="X155" s="18" t="s">
        <v>280</v>
      </c>
      <c r="Y155" s="38">
        <v>253180000</v>
      </c>
      <c r="Z155" s="41">
        <v>0</v>
      </c>
      <c r="AA155" s="21" t="s">
        <v>152</v>
      </c>
      <c r="AB155" s="12" t="s">
        <v>42</v>
      </c>
      <c r="AC155" s="21"/>
      <c r="AD155" s="36" t="s">
        <v>43</v>
      </c>
      <c r="AE155" s="22" t="s">
        <v>274</v>
      </c>
    </row>
    <row r="156" spans="1:31">
      <c r="A156" s="5">
        <v>100144</v>
      </c>
      <c r="B156" s="17">
        <v>7488</v>
      </c>
      <c r="C156" s="17">
        <v>5823</v>
      </c>
      <c r="D156" s="17" t="s">
        <v>32</v>
      </c>
      <c r="E156" s="17" t="s">
        <v>253</v>
      </c>
      <c r="F156" s="17" t="s">
        <v>279</v>
      </c>
      <c r="G156" s="6" t="s">
        <v>166</v>
      </c>
      <c r="H156" s="18" t="s">
        <v>255</v>
      </c>
      <c r="I156" s="24">
        <v>45981</v>
      </c>
      <c r="J156" s="46" t="str">
        <f>TEXT(Tabla1[[#This Row],[FECHA EVENTO]],"dddd")</f>
        <v>jueves</v>
      </c>
      <c r="K156" s="9" t="str">
        <f>TEXT(Tabla1[[#This Row],[FECHA EVENTO]], "[$-es-ES]mmmm")</f>
        <v>noviembre</v>
      </c>
      <c r="L156" s="19">
        <f>YEAR(Tabla1[[#This Row],[FECHA EVENTO]])</f>
        <v>2025</v>
      </c>
      <c r="M156" s="50">
        <v>7.9247685185185185E-2</v>
      </c>
      <c r="N156" s="21">
        <f>HOUR(Tabla1[[#This Row],[HORA]])</f>
        <v>1</v>
      </c>
      <c r="O156" s="21">
        <v>54</v>
      </c>
      <c r="P156" s="21">
        <v>7</v>
      </c>
      <c r="Q156" s="20">
        <v>7.9282407407407413E-2</v>
      </c>
      <c r="R156" s="20">
        <v>9.9328703703703697E-2</v>
      </c>
      <c r="S156" s="20">
        <f t="shared" si="6"/>
        <v>3.472222222222765E-5</v>
      </c>
      <c r="T156" s="61">
        <f t="shared" si="7"/>
        <v>2.0046296296296284E-2</v>
      </c>
      <c r="U156" s="21" t="s">
        <v>152</v>
      </c>
      <c r="V156" s="18" t="s">
        <v>38</v>
      </c>
      <c r="W156" s="18" t="s">
        <v>32</v>
      </c>
      <c r="X156" s="18" t="s">
        <v>38</v>
      </c>
      <c r="Y156" s="38">
        <v>308860000</v>
      </c>
      <c r="Z156" s="41">
        <v>0</v>
      </c>
      <c r="AA156" s="21" t="s">
        <v>268</v>
      </c>
      <c r="AB156" s="12" t="s">
        <v>42</v>
      </c>
      <c r="AC156" s="21"/>
      <c r="AD156" s="36" t="s">
        <v>43</v>
      </c>
      <c r="AE156" s="22" t="s">
        <v>274</v>
      </c>
    </row>
    <row r="157" spans="1:31">
      <c r="A157" s="5">
        <v>100145</v>
      </c>
      <c r="B157" s="17">
        <v>2327</v>
      </c>
      <c r="C157" s="17">
        <v>9181</v>
      </c>
      <c r="D157" s="17" t="s">
        <v>32</v>
      </c>
      <c r="E157" s="17" t="s">
        <v>51</v>
      </c>
      <c r="F157" s="17" t="s">
        <v>279</v>
      </c>
      <c r="G157" s="17" t="s">
        <v>281</v>
      </c>
      <c r="H157" s="18" t="s">
        <v>255</v>
      </c>
      <c r="I157" s="24">
        <v>45991</v>
      </c>
      <c r="J157" s="46" t="str">
        <f>TEXT(Tabla1[[#This Row],[FECHA EVENTO]],"dddd")</f>
        <v>domingo</v>
      </c>
      <c r="K157" s="9" t="str">
        <f>TEXT(Tabla1[[#This Row],[FECHA EVENTO]], "[$-es-ES]mmmm")</f>
        <v>noviembre</v>
      </c>
      <c r="L157" s="19">
        <f>YEAR(Tabla1[[#This Row],[FECHA EVENTO]])</f>
        <v>2025</v>
      </c>
      <c r="M157" s="50">
        <v>6.6493055555555555E-2</v>
      </c>
      <c r="N157" s="21">
        <f>HOUR(Tabla1[[#This Row],[HORA]])</f>
        <v>1</v>
      </c>
      <c r="O157" s="21">
        <v>35</v>
      </c>
      <c r="P157" s="21">
        <v>45</v>
      </c>
      <c r="Q157" s="18"/>
      <c r="R157" s="20">
        <v>0.24791666666666667</v>
      </c>
      <c r="S157" s="20"/>
      <c r="T157" s="61">
        <f t="shared" si="7"/>
        <v>0.24791666666666667</v>
      </c>
      <c r="U157" s="21" t="s">
        <v>37</v>
      </c>
      <c r="V157" s="18" t="s">
        <v>232</v>
      </c>
      <c r="W157" s="18" t="s">
        <v>32</v>
      </c>
      <c r="X157" s="18" t="s">
        <v>282</v>
      </c>
      <c r="Y157" s="37">
        <v>0</v>
      </c>
      <c r="Z157" s="44">
        <v>297000000</v>
      </c>
      <c r="AA157" s="21" t="s">
        <v>152</v>
      </c>
      <c r="AB157" s="21" t="s">
        <v>42</v>
      </c>
      <c r="AC157" s="21"/>
      <c r="AD157" s="36" t="s">
        <v>283</v>
      </c>
      <c r="AE157" s="22" t="s">
        <v>269</v>
      </c>
    </row>
    <row r="158" spans="1:31">
      <c r="A158" s="5">
        <v>100146</v>
      </c>
      <c r="B158" s="6">
        <v>8394</v>
      </c>
      <c r="C158" s="6">
        <v>4102</v>
      </c>
      <c r="D158" s="6" t="s">
        <v>32</v>
      </c>
      <c r="E158" s="17" t="s">
        <v>51</v>
      </c>
      <c r="F158" s="6" t="s">
        <v>284</v>
      </c>
      <c r="G158" s="6" t="s">
        <v>285</v>
      </c>
      <c r="H158" s="18" t="s">
        <v>267</v>
      </c>
      <c r="I158" s="63">
        <v>46065</v>
      </c>
      <c r="J158" s="64" t="str">
        <f>TEXT(Tabla1[[#This Row],[FECHA EVENTO]],"dddd")</f>
        <v>jueves</v>
      </c>
      <c r="K158" s="63" t="str">
        <f>TEXT(Tabla1[[#This Row],[FECHA EVENTO]], "[$-es-ES]mmmm")</f>
        <v>febrero</v>
      </c>
      <c r="L158" s="9">
        <f>YEAR(Tabla1[[#This Row],[FECHA EVENTO]])</f>
        <v>2026</v>
      </c>
      <c r="M158" s="47">
        <v>0.87942129629629628</v>
      </c>
      <c r="N158" s="66">
        <f>HOUR(Tabla1[[#This Row],[HORA]])</f>
        <v>21</v>
      </c>
      <c r="O158" s="66" t="s">
        <v>286</v>
      </c>
      <c r="P158" s="66" t="s">
        <v>287</v>
      </c>
      <c r="Q158" s="10">
        <v>0.87946759259259255</v>
      </c>
      <c r="R158" s="10">
        <v>0.88993055555555556</v>
      </c>
      <c r="S158" s="20">
        <f t="shared" si="6"/>
        <v>4.6296296296266526E-5</v>
      </c>
      <c r="T158" s="61">
        <f t="shared" si="7"/>
        <v>1.0462962962963007E-2</v>
      </c>
      <c r="U158" s="12" t="s">
        <v>152</v>
      </c>
      <c r="V158" s="18" t="s">
        <v>38</v>
      </c>
      <c r="W158" s="18" t="s">
        <v>62</v>
      </c>
      <c r="X158" s="18" t="s">
        <v>38</v>
      </c>
      <c r="Y158" s="37"/>
      <c r="Z158" s="42">
        <v>0</v>
      </c>
      <c r="AA158" s="12" t="s">
        <v>152</v>
      </c>
      <c r="AB158" s="12"/>
      <c r="AC158" s="12"/>
      <c r="AD158" s="36" t="s">
        <v>43</v>
      </c>
      <c r="AE158" s="22" t="s">
        <v>274</v>
      </c>
    </row>
    <row r="159" spans="1:31">
      <c r="A159" s="5">
        <v>100147</v>
      </c>
      <c r="B159" s="6">
        <v>8892</v>
      </c>
      <c r="C159" s="6">
        <v>7622</v>
      </c>
      <c r="D159" s="6" t="s">
        <v>32</v>
      </c>
      <c r="E159" s="17" t="s">
        <v>51</v>
      </c>
      <c r="F159" s="6" t="s">
        <v>284</v>
      </c>
      <c r="G159" s="6" t="s">
        <v>288</v>
      </c>
      <c r="H159" s="18" t="s">
        <v>267</v>
      </c>
      <c r="I159" s="63">
        <v>46100</v>
      </c>
      <c r="J159" s="65" t="s">
        <v>289</v>
      </c>
      <c r="K159" s="63" t="str">
        <f>TEXT(Tabla1[[#This Row],[FECHA EVENTO]], "[$-es-ES]mmmm")</f>
        <v>marzo</v>
      </c>
      <c r="L159" s="9">
        <f>YEAR(Tabla1[[#This Row],[FECHA EVENTO]])</f>
        <v>2026</v>
      </c>
      <c r="M159" s="47">
        <v>8.1944444444444452E-3</v>
      </c>
      <c r="N159" s="66" t="s">
        <v>290</v>
      </c>
      <c r="O159" s="67" t="s">
        <v>291</v>
      </c>
      <c r="P159" s="66" t="s">
        <v>292</v>
      </c>
      <c r="Q159" s="7"/>
      <c r="R159" s="7"/>
      <c r="S159" s="20"/>
      <c r="T159" s="61"/>
      <c r="U159" s="12" t="s">
        <v>152</v>
      </c>
      <c r="V159" s="18" t="s">
        <v>38</v>
      </c>
      <c r="W159" s="18" t="s">
        <v>230</v>
      </c>
      <c r="X159" s="18" t="s">
        <v>38</v>
      </c>
      <c r="Y159" s="37" t="s">
        <v>293</v>
      </c>
      <c r="Z159" s="42"/>
      <c r="AA159" s="12"/>
      <c r="AB159" s="12"/>
      <c r="AC159" s="12"/>
      <c r="AD159" s="36"/>
      <c r="AE159" s="22" t="s">
        <v>274</v>
      </c>
    </row>
  </sheetData>
  <conditionalFormatting sqref="B2:B65">
    <cfRule type="duplicateValues" dxfId="75" priority="25"/>
  </conditionalFormatting>
  <conditionalFormatting sqref="B66:B98 B101:B104 B106:B107">
    <cfRule type="duplicateValues" dxfId="74" priority="24"/>
  </conditionalFormatting>
  <conditionalFormatting sqref="B99">
    <cfRule type="duplicateValues" dxfId="73" priority="6"/>
  </conditionalFormatting>
  <conditionalFormatting sqref="B100">
    <cfRule type="duplicateValues" dxfId="72" priority="4"/>
  </conditionalFormatting>
  <conditionalFormatting sqref="B105">
    <cfRule type="duplicateValues" dxfId="71" priority="2"/>
  </conditionalFormatting>
  <conditionalFormatting sqref="C2:C65">
    <cfRule type="duplicateValues" dxfId="70" priority="29"/>
  </conditionalFormatting>
  <conditionalFormatting sqref="C66:C98 C101:C104 C106:C108">
    <cfRule type="duplicateValues" dxfId="69" priority="21"/>
  </conditionalFormatting>
  <conditionalFormatting sqref="C99">
    <cfRule type="duplicateValues" dxfId="68" priority="5"/>
  </conditionalFormatting>
  <conditionalFormatting sqref="C100">
    <cfRule type="duplicateValues" dxfId="67" priority="3"/>
  </conditionalFormatting>
  <conditionalFormatting sqref="C105">
    <cfRule type="duplicateValues" dxfId="66" priority="1"/>
  </conditionalFormatting>
  <dataValidations disablePrompts="1" count="1">
    <dataValidation type="list" allowBlank="1" showInputMessage="1" showErrorMessage="1" sqref="X9:X11 X15 X18 X22:X23 X25 X69:X71 X81 X95:X97 X101 X103 X109:X111 X113 X118 X122:X124 X129:X130 X134:X137 X144:X145 V2:W159" xr:uid="{737C62D7-7513-4422-B80C-44736921EB48}">
      <formula1>#REF!</formula1>
    </dataValidation>
  </dataValidations>
  <pageMargins left="0.7" right="0.7" top="0.75" bottom="0.75" header="0.3" footer="0.3"/>
  <pageSetup orientation="portrait" verticalDpi="599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Alejandro Lopez Osorno</dc:creator>
  <cp:keywords/>
  <dc:description/>
  <cp:lastModifiedBy/>
  <cp:revision/>
  <dcterms:created xsi:type="dcterms:W3CDTF">2022-02-07T16:24:48Z</dcterms:created>
  <dcterms:modified xsi:type="dcterms:W3CDTF">2026-03-20T21:46:28Z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2025-02-28T20:36:25Z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111e923b-b732-4518-9380-38cebb290f1b</vt:lpwstr>
  </property>
  <property fmtid="{D5CDD505-2E9C-101B-9397-08002B2CF9AE}" pid="8" name="MSIP_Label_71bdff26-5887-4e5c-8426-6e404c233df0_ContentBits">
    <vt:lpwstr>0</vt:lpwstr>
  </property>
</Properties>
</file>