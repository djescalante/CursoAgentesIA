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ursoagenteClaude\Agentes\Agente_Malos_Manejos\Ejemplo\Malos Manejos Procesados\"/>
    </mc:Choice>
  </mc:AlternateContent>
  <xr:revisionPtr revIDLastSave="0" documentId="13_ncr:1_{E237C6DE-D662-49DD-A2DC-4E8FFB588C6C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Mismatches" sheetId="1" r:id="rId1"/>
  </sheets>
  <definedNames>
    <definedName name="_xlnm._FilterDatabase" localSheetId="0" hidden="1">Mismatches!$A$1:$AF$35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4" i="1" l="1"/>
  <c r="X33" i="1"/>
  <c r="X32" i="1"/>
  <c r="X31" i="1"/>
  <c r="X30" i="1"/>
  <c r="X28" i="1"/>
  <c r="X27" i="1"/>
  <c r="X26" i="1"/>
  <c r="X25" i="1"/>
  <c r="X4" i="1"/>
  <c r="X3" i="1"/>
  <c r="X2" i="1"/>
</calcChain>
</file>

<file path=xl/sharedStrings.xml><?xml version="1.0" encoding="utf-8"?>
<sst xmlns="http://schemas.openxmlformats.org/spreadsheetml/2006/main" count="676" uniqueCount="237">
  <si>
    <t>IdGrupo</t>
  </si>
  <si>
    <t>IdAlarma</t>
  </si>
  <si>
    <t>Abonado</t>
  </si>
  <si>
    <t>codigo</t>
  </si>
  <si>
    <t>Tipo de Sitio</t>
  </si>
  <si>
    <t>Region</t>
  </si>
  <si>
    <t>departamento</t>
  </si>
  <si>
    <t>Municipio</t>
  </si>
  <si>
    <t>EsPadre</t>
  </si>
  <si>
    <t>Prioridad</t>
  </si>
  <si>
    <t>Prioridades</t>
  </si>
  <si>
    <t>DescripcionAlarma</t>
  </si>
  <si>
    <t>Grupo de incidente</t>
  </si>
  <si>
    <t>tipo de incidente</t>
  </si>
  <si>
    <t>Ubicacion</t>
  </si>
  <si>
    <t>NombreDispositivo</t>
  </si>
  <si>
    <t>AliasDispositivo</t>
  </si>
  <si>
    <t>TipoSensor</t>
  </si>
  <si>
    <t>ConteoDuplicados</t>
  </si>
  <si>
    <t>ReconocidoPorNombre</t>
  </si>
  <si>
    <t>EtiquetaCierre</t>
  </si>
  <si>
    <t>ResponsableCierre</t>
  </si>
  <si>
    <t>Cajeros PD</t>
  </si>
  <si>
    <t>Coincicde?</t>
  </si>
  <si>
    <t>ComentarioCierre</t>
  </si>
  <si>
    <t>ANS</t>
  </si>
  <si>
    <t>Cumplimiento_ANS</t>
  </si>
  <si>
    <t>FechaCreacion</t>
  </si>
  <si>
    <t>FechaReconocimiento</t>
  </si>
  <si>
    <t>FechaCierre</t>
  </si>
  <si>
    <t>ANS_cierre</t>
  </si>
  <si>
    <t>NotasResumenGrupo</t>
  </si>
  <si>
    <t>923D9BE7-53A6-4834-A88B-EA3D7B142908</t>
  </si>
  <si>
    <t>10D11A27-34C7-46C5-83F0-73252776BD71</t>
  </si>
  <si>
    <t>ATM</t>
  </si>
  <si>
    <t>BOG Y SABANA</t>
  </si>
  <si>
    <t>CUNDINAMARCA</t>
  </si>
  <si>
    <t>BOGOTÁ, D.C.</t>
  </si>
  <si>
    <t>Alta</t>
  </si>
  <si>
    <t>WF 1047 - ZO01-Zonas 24H-ATM-AP:Disarm</t>
  </si>
  <si>
    <t>activación perimetral</t>
  </si>
  <si>
    <t>activación perimetral atm</t>
  </si>
  <si>
    <t>3273 5625 5760 C HALL TRINIDAD GALAN GAM - 7929</t>
  </si>
  <si>
    <t>SGIII-7929-9-2</t>
  </si>
  <si>
    <t xml:space="preserve">MAGNETICO HALL ENTRADA PRINCIPAL CAJEROS </t>
  </si>
  <si>
    <t>SGIII</t>
  </si>
  <si>
    <t>kelly aguirre</t>
  </si>
  <si>
    <t>Mal manejo</t>
  </si>
  <si>
    <t>ATLAS</t>
  </si>
  <si>
    <t>FUNCIONARIOS</t>
  </si>
  <si>
    <t>Oportuno</t>
  </si>
  <si>
    <t>[2026-07-01 02:52:06] kelly aguirre: [SOP:1] Validando Video ✅ [SOP:2] Enviando Reacción ✅ || [2026-07-01 02:52:07] kelly aguirre: [SOP:3] Documentando ✅ || [2026-07-01 02:52:56] kelly aguirre: Por video se observa al momento de la     activación que en el punto esta TDV AT || [2026-07-01 02:53:09] kelly aguirre: PERSONAL DE LA TDV EN SITIO NO REALIZA BYPASS DE LA ZONA EN ACTIVACION LA CUAL OCASIONA ACTIVACIONES</t>
  </si>
  <si>
    <t>A4E71697-77A0-4C3A-8D78-6D4A2897916B</t>
  </si>
  <si>
    <t>SGIII-7929-10-2</t>
  </si>
  <si>
    <t>INFRARROJO HALL CAJEROS</t>
  </si>
  <si>
    <t>A1197B15-A11C-4306-BFA8-2CE8F60E06AA</t>
  </si>
  <si>
    <t>0E3BC721-D556-406A-9EE7-BDC720908803</t>
  </si>
  <si>
    <t>Neidy Martínez</t>
  </si>
  <si>
    <t>[2026-07-01 03:09:04] Neidy Martínez: [SOP:1] Validando Video ✅ [SOP:2] Enviando Reacción ✅ [SOP:3] Documentando ✅ || [2026-07-01 03:10:02] Neidy Martínez: Se valida por video command se observa tdv ATLAS en el sitio     Mal manejo, personal en sitio no realiza bypass de la zona 24 Horas</t>
  </si>
  <si>
    <t>6686EB1E-3B2A-4317-9420-10DBCFF06F61</t>
  </si>
  <si>
    <t>461CF3A4-6E6A-4A85-9A89-DFB9756B36D7</t>
  </si>
  <si>
    <t>CARIBE</t>
  </si>
  <si>
    <t>CESAR</t>
  </si>
  <si>
    <t>VALLEDUPAR</t>
  </si>
  <si>
    <t>7156 C EXITO CENTRO VALLEDUPAR - 9326 - TBS - DIEBOLD</t>
  </si>
  <si>
    <t>SGIII-9326-2-1</t>
  </si>
  <si>
    <t>MICROSUICHE TAPA TECLADO CAJERO</t>
  </si>
  <si>
    <t>Laura Valentina Restrepo Jaramillo</t>
  </si>
  <si>
    <t>Falso positivo</t>
  </si>
  <si>
    <t>TRANSBANK</t>
  </si>
  <si>
    <t>[2026-07-01 07:03:59] Laura Valentina Restrepo Jaramillo: [SOP:1] Validando Video ✅ [SOP:2] Enviando Reacción ✅ [SOP:3] Documentando ✅ || [2026-07-01 07:04:40] Laura Valentina Restrepo Jaramillo: Se verifica por video cámara relacionada en tiempo real, TDV en el punto en aparente normalidad bk || [2026-07-01 07:04:46] Laura Valentina Restrepo Jaramillo: Activación generada por desarme inoportuno</t>
  </si>
  <si>
    <t>BF2D210F-FC82-425B-8A8B-5CB6EC3192D7</t>
  </si>
  <si>
    <t>D0783D27-CA4F-4974-AE08-0F696349FBF4</t>
  </si>
  <si>
    <t>Sucursal</t>
  </si>
  <si>
    <t>WF 1055 - ZO09-Zonas 24H-Tamper y Antimascara AP:A</t>
  </si>
  <si>
    <t>activación tamper y antimascara</t>
  </si>
  <si>
    <t>0666 S PARK WAY - 1666</t>
  </si>
  <si>
    <t>Honeywell7810PC-1666-8-1</t>
  </si>
  <si>
    <t xml:space="preserve">TAMPER CAJA MARNELL </t>
  </si>
  <si>
    <t>Honeywell</t>
  </si>
  <si>
    <t>Adier Cuitiva Mayo</t>
  </si>
  <si>
    <t>[2026-07-01 09:05:17] Adier Cuitiva Mayo: [SOP:1] Validando Video ✅ [SOP:2] Enviando Reacción ✅ [SOP:3] Documentando ✅ || [2026-07-01 09:05:57] Adier Cuitiva Mayo: Se verifica por video cámara relacionada en tiempo real, en el punto en aparente normalidad || [2026-07-01 09:06:07] Adier Cuitiva Mayo: En desmunte obras</t>
  </si>
  <si>
    <t>79046292-2CFD-4C5C-9545-F9DCA73E42A8</t>
  </si>
  <si>
    <t>Honeywell7810PC-1666-84-1</t>
  </si>
  <si>
    <t xml:space="preserve">TAMPER CENTRAL PARK WAY </t>
  </si>
  <si>
    <t>0CF7D86D-118E-4E73-813B-DA90EB515E49</t>
  </si>
  <si>
    <t>8D6AA44A-CE22-48B1-8CED-5CBB40FBEE16</t>
  </si>
  <si>
    <t>SUR</t>
  </si>
  <si>
    <t>VALLE DEL CAUCA</t>
  </si>
  <si>
    <t>CALI</t>
  </si>
  <si>
    <t>8726 8727 8728 8729 C MF HALL CALI PRINCIPAL - 6997 - AdminSUC - DIEBOLD</t>
  </si>
  <si>
    <t>Honeywell7810PC-6997-16-1</t>
  </si>
  <si>
    <t xml:space="preserve">MAGNETICO PUERTA PASILLO CUARTO TECNICO CAJERO </t>
  </si>
  <si>
    <t>JUAN RODOLFO VASQUEZ ALZATE</t>
  </si>
  <si>
    <t>[2026-07-02 00:07:16] JUAN RODOLFO VASQUEZ ALZATE: [SOP:1] Validando Video ✅ [SOP:2] Enviando Reacción ✅ [SOP:3] Documentando ✅ || [2026-07-02 00:07:24] JUAN RODOLFO VASQUEZ ALZATE: FUNCIONARIOS DE OBRAS EN EL SITIO || [2026-07-02 01:32:29] JUAN RODOLFO VASQUEZ ALZATE: SE VALIDA POR VIDEO COMMAND SE OBSERVA TDV TRANSBANK EN EL SITIO    SE GENERAN MALOS MANEJOS POR NO DESARME DE PARTICION</t>
  </si>
  <si>
    <t>0825C3AE-74CB-4CC0-867C-0E7C79C7FDE0</t>
  </si>
  <si>
    <t>Honeywell7810PC-6997-2-1</t>
  </si>
  <si>
    <t>INFRARROJO ENTRADA HALL CAJERO</t>
  </si>
  <si>
    <t>[2026-07-02 00:05:34] JUAN RODOLFO VASQUEZ ALZATE: [SOP:1] Validando Video ✅ [SOP:2] Enviando Reacción ✅ [SOP:3] Documentando ✅ || [2026-07-02 00:05:38] JUAN RODOLFO VASQUEZ ALZATE: SE VALIDA POR VIDEO COMMAND SE OBSERVAN FUNCIONARIOS DE OBRAS EN EL SITIO || [2026-07-02 00:06:57] JUAN RODOLFO VASQUEZ ALZATE: FUNCIONARIOS DE OBRAS EN EL SITIO || [2026-07-02 01:32:29] JUAN RODOLFO VASQUEZ ALZATE: SE VALIDA POR VIDEO COMMAND SE OBSERVA TDV TRANSBANK EN EL SITIO    SE GENERAN MALOS MANEJOS POR NO DESARME DE PARTICION</t>
  </si>
  <si>
    <t>9215F0DF-62AC-435C-8599-4FC8964BC185</t>
  </si>
  <si>
    <t>Honeywell7810PC-6997-12-1</t>
  </si>
  <si>
    <t>INFRARROJO PASILLO ATRAS CAJERO</t>
  </si>
  <si>
    <t>[2026-07-02 00:06:57] JUAN RODOLFO VASQUEZ ALZATE: FUNCIONARIOS DE OBRAS EN EL SITIO || [2026-07-02 01:32:29] JUAN RODOLFO VASQUEZ ALZATE: SE VALIDA POR VIDEO COMMAND SE OBSERVA TDV TRANSBANK EN EL SITIO    SE GENERAN MALOS MANEJOS POR NO DESARME DE PARTICION</t>
  </si>
  <si>
    <t>55CDBADD-FB23-4E6F-808F-30520080D01B</t>
  </si>
  <si>
    <t>Honeywell7810PC-6997-4-1</t>
  </si>
  <si>
    <t>INFRARROJO CUARTO AREA COMUN CAJERO</t>
  </si>
  <si>
    <t>395B23B6-AD7D-4565-A9CE-5AFB32AF8C73</t>
  </si>
  <si>
    <t>Honeywell7810PC-6997-9-1</t>
  </si>
  <si>
    <t xml:space="preserve">MAGNETICO PUERTA SALIDA EMERGENCIA 1 CAJERO </t>
  </si>
  <si>
    <t>C778A9A5-5563-4BD4-A8D6-9841322F6AA3</t>
  </si>
  <si>
    <t>Honeywell7810PC-6997-6-1</t>
  </si>
  <si>
    <t>INFRARROJO PASILLO SALIDA DE EMERGECIA 1 CAJERO</t>
  </si>
  <si>
    <t>47CB88CB-13C7-4ADC-A6B5-C6AA3ADBA1D4</t>
  </si>
  <si>
    <t>9D9CFC5D-06C5-476E-AC1D-BFC570DFF73B</t>
  </si>
  <si>
    <t>4316 C LA GRAN FERIA CAMPESINA - 8240 - TBS - DIEBOLD</t>
  </si>
  <si>
    <t>SGIII-8240-4-2</t>
  </si>
  <si>
    <t>MICROSUICHE FASCIA SUPERIOR CAJERO</t>
  </si>
  <si>
    <t>Jhon Fredy Ocampo Yepez</t>
  </si>
  <si>
    <t>Falso Positivo</t>
  </si>
  <si>
    <t>[2026-07-02 11:36:57] Jhon Fredy Ocampo Yepez: [SOP:1] Validando Video ✅ [SOP:2] Enviando Reacción ✅ [SOP:3] Documentando ✅ || [2026-07-02 13:11:01] Jhon Fredy Ocampo Yepez: Se verifica por video COMMAND , Todas las cámaras en tiempo real, se observa el SITIO en aparente normalidad y sin afectación alguna Se observa personal TECNICO DE DIEBOLD en el sitio || [2026-07-02 13:11:12] Jhon Fredy Ocampo Yepez: Mal manejo por desarme inoportuno</t>
  </si>
  <si>
    <t>A8EC36AD-F179-46AC-8B2F-25BC1679025B</t>
  </si>
  <si>
    <t>6B863118-F72D-4C86-A2D9-B5FA147CFC28</t>
  </si>
  <si>
    <t>NARIÑO</t>
  </si>
  <si>
    <t>PASTO</t>
  </si>
  <si>
    <t>2144 4878 6895 C AVENIDA LOS ESTUDIANTES - 9018 - BK - DIEBOLD - NCR</t>
  </si>
  <si>
    <t>SGIII-9018-15-3</t>
  </si>
  <si>
    <t>MICROSUICH TAPA TECLADO CAJERO</t>
  </si>
  <si>
    <t>BRINKS</t>
  </si>
  <si>
    <t>[2026-07-02 13:59:26] Laura Valentina Restrepo Jaramillo: [SOP:1] Validando Video ✅ [SOP:2] Enviando Reacción ✅ [SOP:3] Documentando ✅ || [2026-07-02 13:59:37] Laura Valentina Restrepo Jaramillo: ¡Enviando reacción correspondiente!  GAM -POLICIA  No carga video || [2026-07-02 14:19:51] Laura Valentina Restrepo Jaramillo: Se verifica por video cámara relacionada en tiempo real, TDV en el punto en aparente normalidad vatco || [2026-07-02 14:19:56] Laura Valentina Restrepo Jaramillo: Activación generada por desarme inoportuno</t>
  </si>
  <si>
    <t>9DD6EA01-B5FD-494A-A04F-9A477C0544A0</t>
  </si>
  <si>
    <t>48D3E849-B16A-4966-A04F-8DDD7A2FF193</t>
  </si>
  <si>
    <t>CENTRO</t>
  </si>
  <si>
    <t>META</t>
  </si>
  <si>
    <t>VILLAVICENCIO</t>
  </si>
  <si>
    <t>7469 4806 4807 C TOCORAGUA - 8921 - TBS - NCR</t>
  </si>
  <si>
    <t>SGIII-8921-8-1</t>
  </si>
  <si>
    <t xml:space="preserve">TAMPER CENTRAL ALARMA CAJERO </t>
  </si>
  <si>
    <t>[2026-07-02 14:21:30] Neidy Martínez: [SOP:1] Validando Video ✅ [SOP:2] Enviando Reacción ✅ [SOP:3] Documentando ✅ || [2026-07-02 14:22:37] Neidy Martínez: Se valida por video command se observa USUARIO realizando transacción en el momento de la activación || [2026-07-02 14:23:05] Neidy Martínez: desarme de técnicos DIEBOLD en el sitio   Mal manejo, personal no realizan bypass de la zona de forma oportuna</t>
  </si>
  <si>
    <t>66A1721F-9685-4A67-A14C-83CC3713A7D9</t>
  </si>
  <si>
    <t>D6D8DED2-9361-4132-B641-690F14368B77</t>
  </si>
  <si>
    <t>SGIII-8921-2-1</t>
  </si>
  <si>
    <t xml:space="preserve">MAGNETICO CUARTO CAJEROS </t>
  </si>
  <si>
    <t>[2026-07-02 14:26:40] Adier Cuitiva Mayo: [SOP:1] Validando Video ✅ [SOP:2] Enviando Reacción ✅ [SOP:3] Documentando ✅ || [2026-07-02 14:36:04] Adier Cuitiva Mayo: Se verifica por video cámara relacionada en tiempo real, TECNICO en aparente normalidad</t>
  </si>
  <si>
    <t>DF3BDEFB-CDE3-492F-B007-6FCDFABE1CFB</t>
  </si>
  <si>
    <t>SGIII-8921-6-1</t>
  </si>
  <si>
    <t xml:space="preserve">TAMPER SISMICO CUARTO CAJEROS </t>
  </si>
  <si>
    <t>E89171C5-A464-4CE6-A483-0B947C6A1147</t>
  </si>
  <si>
    <t>SGIII-8921-3-1</t>
  </si>
  <si>
    <t>INFRARROJO CUARTO CAJERO</t>
  </si>
  <si>
    <t>24E80F05-553C-491E-86E1-8F64E88DCA0E</t>
  </si>
  <si>
    <t>SGIII-8921-4-1</t>
  </si>
  <si>
    <t xml:space="preserve">TAMPER Y ANTIMASCARA CUARTO CAJEROS </t>
  </si>
  <si>
    <t>1A312E74-19F2-4F11-86E2-6BDE2083FC21</t>
  </si>
  <si>
    <t>2E9367C4-B5FD-4341-A3B0-8F31B5F96452</t>
  </si>
  <si>
    <t>[2026-07-02 15:40:40] Laura Valentina Restrepo Jaramillo: [SOP:1] Validando Video ✅ [SOP:2] Enviando Reacción ✅ [SOP:3] Documentando ✅ || [2026-07-02 15:40:49] Laura Valentina Restrepo Jaramillo: Se verifica por video cámara relacionada en tiempo real, TECNICO en aparente normalidad diebold</t>
  </si>
  <si>
    <t>E44254EE-15CD-41C9-9DB3-E9340C29C9ED</t>
  </si>
  <si>
    <t>A4E4DB68-41FC-4BB1-B722-411E9874FB6E</t>
  </si>
  <si>
    <t>2988 C PARQUE DE LA CAÑA S - 9060 - TBS - NCR</t>
  </si>
  <si>
    <t>SGIII-9060-7-2</t>
  </si>
  <si>
    <t>MICROSUICHE DIAL COFRE CAJERO</t>
  </si>
  <si>
    <t>ARELY TORRES</t>
  </si>
  <si>
    <t>[2026-07-03 07:08:21] ARELY TORRES: [SOP:1] Validando Video ✅ [SOP:2] Enviando Reacción ✅ || [2026-07-03 07:08:21] ARELY TORRES: [SOP:3] Documentando ✅ || [2026-07-03 07:09:00] ARELY TORRES: SE GENERA COBRO DE MALOS, ZONA SIN BYPASEAR A TIEMPO Se valida video por Command y no se evidencia novedad. TDV EN SITIO || [2026-07-03 07:09:01] ARELY TORRES: BK</t>
  </si>
  <si>
    <t>FF7E0E5D-E05E-41EF-85BD-43BB04DE8CC1</t>
  </si>
  <si>
    <t>SGIII-9060-9-2</t>
  </si>
  <si>
    <t>MAGNETICO COFRE CAJERO</t>
  </si>
  <si>
    <t>7059BA0F-9CDF-47B9-91E3-79EA472C375C</t>
  </si>
  <si>
    <t>9E33C3F6-7EB1-45A5-8215-A8BC637490A5</t>
  </si>
  <si>
    <t>ANTIOQUIA</t>
  </si>
  <si>
    <t>MEDELLÍN</t>
  </si>
  <si>
    <t>1055 1056 1057 C HALL FLORIDA PARQUE - 6023</t>
  </si>
  <si>
    <t>SGIII-6023-14-2</t>
  </si>
  <si>
    <t>MICROSUICHE FASCIA INFERIOR KIOSCO</t>
  </si>
  <si>
    <t xml:space="preserve">Falso positivo </t>
  </si>
  <si>
    <t>CA89E80A-B81C-4C07-A5A2-7D23EE987E16</t>
  </si>
  <si>
    <t>D326EFA3-9528-458A-A0BD-38F0A8A05EEB</t>
  </si>
  <si>
    <t>BOGOTÁ D.C.</t>
  </si>
  <si>
    <t>1126 C HALL CC GRAN PLAZA BOSA - 5494</t>
  </si>
  <si>
    <t>SGIII-5494-56-8</t>
  </si>
  <si>
    <t>MAGNETICO FASCIA SUPERIOR CAJERO</t>
  </si>
  <si>
    <t>JHON DAIRO ESCOBAR GARCIA</t>
  </si>
  <si>
    <t>Mal manejo (Reacción)</t>
  </si>
  <si>
    <t>[2026-07-08 14:17:30] JHON DAIRO ESCOBAR GARCIA: [SOP:1] Validando Video ✅ [SOP:2] Enviando Reacción ✅ [SOP:3] Documentando ✅ || [2026-07-08 14:18:01] JHON DAIRO ESCOBAR GARCIA: 8/7/2026, 2:16:43 p. m. SGIII-5494-8 CL Particion armada 61 Sin verificación de - Reporte de Cierre Normal - 61 ATLAS 1126 C HALL CC GRAN PLAZA BOSA - 5494 PARTICION 8 || [2026-07-08 14:23:56] JHON DAIRO ESCOBAR GARCIA: CRISTIAN DAVID PULIDO VANEGAS  GAM - 1.077.320.514 Disponible  3502477877 || [2026-07-08 14:24:28] JHON DAIRO ESCOBAR GARCIA: Enterado || [2026-07-08 15:02:49]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</si>
  <si>
    <t>9958268A-4787-434D-8421-DBCC5A407D01</t>
  </si>
  <si>
    <t>SGIII-5494-55-8</t>
  </si>
  <si>
    <t>MAGNETICO CONTRATAPA INFERIOR CAJERO</t>
  </si>
  <si>
    <t>[2026-07-08 15:00:14]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</si>
  <si>
    <t>C9DB836E-56CB-4012-96E2-D4A44846539A</t>
  </si>
  <si>
    <t>SGIII-5494-57-8</t>
  </si>
  <si>
    <t>[2026-07-08 15:02:11]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</si>
  <si>
    <t>E7BF55E9-5EFB-4B67-9B87-FA5BCF9333BC</t>
  </si>
  <si>
    <t>SGIII-5494-58-8</t>
  </si>
  <si>
    <t>[2026-07-08 15:02:31] JUAN RODOLFO VASQUEZ ALZATE: GAM JOHN HUERTAS  PASA REVISTA ENCUENTRA PERSONAL DE TDV ATLAS EN SERVICIO TECNICO TODO BIEN CERRADO Y AJUSTADO, OPERATIVO, ENERGIA ESTABLE, SIN SEÑALES DE VANDALISMO, SIN OLORES NI RUIDOS EXTRAÑOS, SIN OBRAS ALEDAÑAS, ALREDEDORES Y PERIMETRO SIN NOVEDAD, EL RESTO N2 A LA HORA</t>
  </si>
  <si>
    <t>D44BDE4D-3C6E-462C-A838-D9BDF2DB8EF1</t>
  </si>
  <si>
    <t>4287379F-8B0B-47AF-9246-9F878359E816</t>
  </si>
  <si>
    <t>MOSQUERA</t>
  </si>
  <si>
    <t>6628 C MULTIFUNCIONAL MOSQUERA - 7653 - AdminSUC</t>
  </si>
  <si>
    <t>SGIII-7653-11-2</t>
  </si>
  <si>
    <t xml:space="preserve">MAGNETICO COFRE CJAERO </t>
  </si>
  <si>
    <t>[2026-07-10 06:19:27] Neidy Martínez: [SOP:1] Validando Video ✅ [SOP:2] Enviando Reacción ✅ [SOP:3] Documentando ✅ || [2026-07-10 06:20:09] Neidy Martínez: sin video || [2026-07-10 06:20:54] Neidy Martínez: 10/07/2026 06:20:00 S01011[#7653|Nri2/OP0022/OR0022]_x0014_ Partición Desarmada USUARIO  22 VATCO || [2026-07-10 06:21:07] Neidy Martínez: Mal manejo, personal en sitio no realiza desarme de la partición de forma oportuna</t>
  </si>
  <si>
    <t>2C0EEBD4-6820-41B4-85BE-9AC2399B9127</t>
  </si>
  <si>
    <t>71E4FC4F-EDDC-49E4-9D2C-0A2AE47C7903</t>
  </si>
  <si>
    <t>RISARALDA</t>
  </si>
  <si>
    <t>PEREIRA</t>
  </si>
  <si>
    <t>8060 C EXITO PEREIRA CUARTO S - 7866 - TBS - DIEBOLD</t>
  </si>
  <si>
    <t>SGIII-7866-2-1</t>
  </si>
  <si>
    <t>MICROSUICHE TAPA TECLADO CUARTO TECNICO</t>
  </si>
  <si>
    <t>NCR</t>
  </si>
  <si>
    <t>DIEBOLD</t>
  </si>
  <si>
    <t>[2026-07-10 08:06:12] Neidy Martínez: [SOP:1] Validando Video ✅ [SOP:2] Enviando Reacción ✅ [SOP:3] Documentando ✅ || [2026-07-10 08:06:49] Neidy Martínez: Se valida por video command se observan TÉCNICOS NCR en el sitio   Mal manejo, personal no realizan bypass de la zona de forma oportuna</t>
  </si>
  <si>
    <t>95E5AD83-983F-4872-BC44-8A2E3429E926</t>
  </si>
  <si>
    <t>61F4ACA3-B50F-4C54-89A0-9A436CEF04E8</t>
  </si>
  <si>
    <t>BELLO</t>
  </si>
  <si>
    <t>8507 8508 5022 6766 C CENTRO PAGOS BELLO - 6904 - TBS - DIEBOLD</t>
  </si>
  <si>
    <t>Honeywell7810PC-6904-8-2</t>
  </si>
  <si>
    <t>[2026-07-10 08:43:10] Neidy Martínez: [SOP:1] Validando Video ✅ [SOP:2] Enviando Reacción ✅ [SOP:3] Documentando ✅ || [2026-07-10 08:46:50] Neidy Martínez: Se valida por video command se observan TÉCNICOS NCR en el sitio   Mal manejo, personal no realizan bypass de la zona de forma oportuna</t>
  </si>
  <si>
    <t>F52805E4-F45F-4D77-8EFE-7957327E7CEB</t>
  </si>
  <si>
    <t>461A433F-2400-49BB-AA90-3F64CA9A4225</t>
  </si>
  <si>
    <t>Baja</t>
  </si>
  <si>
    <t>WF 1002 - AP03-Dia-No User In Data Base -  - UsuarioDesconocido</t>
  </si>
  <si>
    <t>apertura por usuario desconocido</t>
  </si>
  <si>
    <t>apertura por usuario desconocido (d)</t>
  </si>
  <si>
    <t>5489 C CP UNICENTRO BOGOTA - 7946 - AdminSUC - BELLTECH -Mtto</t>
  </si>
  <si>
    <t>SGIII-7946-2</t>
  </si>
  <si>
    <t xml:space="preserve">PARTICION 2 </t>
  </si>
  <si>
    <t>[2026-07-11 11:13:19] Jhon Fredy Ocampo Yepez: Mal manejo por no desarme de particion</t>
  </si>
  <si>
    <t>37CEACE6-DCD5-49F8-B2AE-1169770F4179</t>
  </si>
  <si>
    <t>SGIII-7946-4</t>
  </si>
  <si>
    <t xml:space="preserve">PARTICION 4 </t>
  </si>
  <si>
    <t>405E8895-3EC9-4A4E-AFB5-A0332577A1D5</t>
  </si>
  <si>
    <t>5489 7980 C MULTIFUNCIONAL CP UNICENTRO BOGOTA SUC - 7946 - AdminSUC - BELLTECH -Mtto</t>
  </si>
  <si>
    <t>SGIII-7946-1</t>
  </si>
  <si>
    <t xml:space="preserve">PARTICION 1 </t>
  </si>
  <si>
    <t>FAA6FA10-0FB6-47F7-8B2B-80AC373C2FA3</t>
  </si>
  <si>
    <t>D0705EFA-4C24-4253-84E9-FE31929F07DB</t>
  </si>
  <si>
    <t>7121 C MULTIFUNCIONAL PLAZA CLARO - 7482 - ATL - DIEBOLD</t>
  </si>
  <si>
    <t>Honeywell7810PC-7482-54-2</t>
  </si>
  <si>
    <t xml:space="preserve">MAGNETICO CONTRATAPA INFERIOR CAJERO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</si>
</sst>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F35"/>
  <sheetViews>
    <sheetView tabSelected="1" workbookViewId="0">
      <selection activeCell="Q49" sqref="Q49"/>
    </sheetView>
  </sheetViews>
  <sheetFormatPr baseColWidth="10" defaultColWidth="8.7265625" defaultRowHeight="14.5" x14ac:dyDescent="0.35"/>
  <cols>
    <col min="21" max="21" width="19.90625" bestFit="1" customWidth="1"/>
    <col min="23" max="23" width="13.6328125" bestFit="1" customWidth="1"/>
  </cols>
  <sheetData>
    <row r="1" spans="1:3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35">
      <c r="A2" t="s">
        <v>32</v>
      </c>
      <c r="B2" t="s">
        <v>33</v>
      </c>
      <c r="C2">
        <v>7929</v>
      </c>
      <c r="D2" s="2">
        <v>5129</v>
      </c>
      <c r="E2" t="s">
        <v>34</v>
      </c>
      <c r="F2" t="s">
        <v>35</v>
      </c>
      <c r="G2" t="s">
        <v>36</v>
      </c>
      <c r="H2" t="s">
        <v>37</v>
      </c>
      <c r="I2">
        <v>1</v>
      </c>
      <c r="J2">
        <v>1</v>
      </c>
      <c r="K2" t="s">
        <v>38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  <c r="R2" t="s">
        <v>45</v>
      </c>
      <c r="S2">
        <v>0</v>
      </c>
      <c r="T2" t="s">
        <v>46</v>
      </c>
      <c r="U2" t="s">
        <v>47</v>
      </c>
      <c r="V2" s="2" t="s">
        <v>48</v>
      </c>
      <c r="W2" s="2" t="s">
        <v>49</v>
      </c>
      <c r="X2" s="2" t="b">
        <f t="shared" ref="X2:X35" si="0">EXACT(TRIM(UPPER(V2)), TRIM(UPPER(W2)))</f>
        <v>0</v>
      </c>
      <c r="Z2">
        <v>5</v>
      </c>
      <c r="AA2" t="s">
        <v>50</v>
      </c>
      <c r="AB2" s="1">
        <v>46204.119409722232</v>
      </c>
      <c r="AC2" s="1">
        <v>46204.119467592587</v>
      </c>
      <c r="AD2" s="1">
        <v>46204.130312499998</v>
      </c>
      <c r="AE2">
        <v>942</v>
      </c>
      <c r="AF2" t="s">
        <v>51</v>
      </c>
    </row>
    <row r="3" spans="1:32" x14ac:dyDescent="0.35">
      <c r="A3" t="s">
        <v>32</v>
      </c>
      <c r="B3" t="s">
        <v>52</v>
      </c>
      <c r="C3">
        <v>7929</v>
      </c>
      <c r="D3" s="2">
        <v>5129</v>
      </c>
      <c r="E3" t="s">
        <v>34</v>
      </c>
      <c r="F3" t="s">
        <v>35</v>
      </c>
      <c r="G3" t="s">
        <v>36</v>
      </c>
      <c r="H3" t="s">
        <v>37</v>
      </c>
      <c r="I3">
        <v>0</v>
      </c>
      <c r="J3">
        <v>1</v>
      </c>
      <c r="K3" t="s">
        <v>38</v>
      </c>
      <c r="L3" t="s">
        <v>39</v>
      </c>
      <c r="M3" t="s">
        <v>40</v>
      </c>
      <c r="N3" t="s">
        <v>41</v>
      </c>
      <c r="O3" t="s">
        <v>42</v>
      </c>
      <c r="P3" t="s">
        <v>53</v>
      </c>
      <c r="Q3" t="s">
        <v>54</v>
      </c>
      <c r="R3" t="s">
        <v>45</v>
      </c>
      <c r="S3">
        <v>0</v>
      </c>
      <c r="T3" t="s">
        <v>46</v>
      </c>
      <c r="U3" t="s">
        <v>47</v>
      </c>
      <c r="V3" s="2" t="s">
        <v>48</v>
      </c>
      <c r="W3" s="2" t="s">
        <v>49</v>
      </c>
      <c r="X3" s="2" t="b">
        <f t="shared" si="0"/>
        <v>0</v>
      </c>
      <c r="Z3">
        <v>8</v>
      </c>
      <c r="AA3" t="s">
        <v>50</v>
      </c>
      <c r="AB3" s="1">
        <v>46204.119421296287</v>
      </c>
      <c r="AC3" s="1">
        <v>46204.119513888887</v>
      </c>
      <c r="AD3" s="1">
        <v>46204.130312499998</v>
      </c>
      <c r="AE3">
        <v>941</v>
      </c>
    </row>
    <row r="4" spans="1:32" x14ac:dyDescent="0.35">
      <c r="A4" t="s">
        <v>55</v>
      </c>
      <c r="B4" t="s">
        <v>56</v>
      </c>
      <c r="C4">
        <v>7929</v>
      </c>
      <c r="D4" s="2">
        <v>5129</v>
      </c>
      <c r="E4" t="s">
        <v>34</v>
      </c>
      <c r="F4" t="s">
        <v>35</v>
      </c>
      <c r="G4" t="s">
        <v>36</v>
      </c>
      <c r="H4" t="s">
        <v>37</v>
      </c>
      <c r="I4">
        <v>1</v>
      </c>
      <c r="J4">
        <v>1</v>
      </c>
      <c r="K4" t="s">
        <v>38</v>
      </c>
      <c r="L4" t="s">
        <v>39</v>
      </c>
      <c r="M4" t="s">
        <v>40</v>
      </c>
      <c r="N4" t="s">
        <v>41</v>
      </c>
      <c r="O4" t="s">
        <v>42</v>
      </c>
      <c r="P4" t="s">
        <v>53</v>
      </c>
      <c r="Q4" t="s">
        <v>54</v>
      </c>
      <c r="R4" t="s">
        <v>45</v>
      </c>
      <c r="S4">
        <v>0</v>
      </c>
      <c r="T4" t="s">
        <v>57</v>
      </c>
      <c r="U4" t="s">
        <v>47</v>
      </c>
      <c r="V4" s="2" t="s">
        <v>48</v>
      </c>
      <c r="W4" s="2" t="s">
        <v>49</v>
      </c>
      <c r="X4" s="2" t="b">
        <f t="shared" si="0"/>
        <v>0</v>
      </c>
      <c r="Z4">
        <v>5</v>
      </c>
      <c r="AA4" t="s">
        <v>50</v>
      </c>
      <c r="AB4" s="1">
        <v>46204.130428240736</v>
      </c>
      <c r="AC4" s="1">
        <v>46204.130486111113</v>
      </c>
      <c r="AD4" s="1">
        <v>46204.136550925927</v>
      </c>
      <c r="AE4">
        <v>529</v>
      </c>
      <c r="AF4" t="s">
        <v>58</v>
      </c>
    </row>
    <row r="5" spans="1:32" hidden="1" x14ac:dyDescent="0.35">
      <c r="A5" t="s">
        <v>59</v>
      </c>
      <c r="B5" t="s">
        <v>60</v>
      </c>
      <c r="C5">
        <v>9326</v>
      </c>
      <c r="D5">
        <v>7156</v>
      </c>
      <c r="E5" t="s">
        <v>34</v>
      </c>
      <c r="F5" t="s">
        <v>61</v>
      </c>
      <c r="G5" t="s">
        <v>62</v>
      </c>
      <c r="H5" t="s">
        <v>63</v>
      </c>
      <c r="I5">
        <v>1</v>
      </c>
      <c r="J5">
        <v>1</v>
      </c>
      <c r="K5" t="s">
        <v>38</v>
      </c>
      <c r="L5" t="s">
        <v>39</v>
      </c>
      <c r="M5" t="s">
        <v>40</v>
      </c>
      <c r="N5" t="s">
        <v>41</v>
      </c>
      <c r="O5" t="s">
        <v>64</v>
      </c>
      <c r="P5" t="s">
        <v>65</v>
      </c>
      <c r="Q5" t="s">
        <v>66</v>
      </c>
      <c r="R5" t="s">
        <v>45</v>
      </c>
      <c r="S5">
        <v>0</v>
      </c>
      <c r="T5" t="s">
        <v>67</v>
      </c>
      <c r="U5" t="s">
        <v>68</v>
      </c>
      <c r="W5" t="s">
        <v>69</v>
      </c>
      <c r="Z5">
        <v>5</v>
      </c>
      <c r="AA5" t="s">
        <v>50</v>
      </c>
      <c r="AB5" s="1">
        <v>46204.294317129628</v>
      </c>
      <c r="AC5" s="1">
        <v>46204.294374999998</v>
      </c>
      <c r="AD5" s="1">
        <v>46204.361446759263</v>
      </c>
      <c r="AE5">
        <v>5800</v>
      </c>
      <c r="AF5" t="s">
        <v>70</v>
      </c>
    </row>
    <row r="6" spans="1:32" hidden="1" x14ac:dyDescent="0.35">
      <c r="A6" t="s">
        <v>71</v>
      </c>
      <c r="B6" t="s">
        <v>72</v>
      </c>
      <c r="C6">
        <v>1666</v>
      </c>
      <c r="D6">
        <v>666</v>
      </c>
      <c r="E6" t="s">
        <v>73</v>
      </c>
      <c r="F6" t="s">
        <v>35</v>
      </c>
      <c r="G6" t="s">
        <v>36</v>
      </c>
      <c r="H6" t="s">
        <v>37</v>
      </c>
      <c r="I6">
        <v>1</v>
      </c>
      <c r="J6">
        <v>1</v>
      </c>
      <c r="K6" t="s">
        <v>38</v>
      </c>
      <c r="L6" t="s">
        <v>74</v>
      </c>
      <c r="M6" t="s">
        <v>75</v>
      </c>
      <c r="N6" t="s">
        <v>75</v>
      </c>
      <c r="O6" t="s">
        <v>76</v>
      </c>
      <c r="P6" t="s">
        <v>77</v>
      </c>
      <c r="Q6" t="s">
        <v>78</v>
      </c>
      <c r="R6" t="s">
        <v>79</v>
      </c>
      <c r="S6">
        <v>0</v>
      </c>
      <c r="T6" t="s">
        <v>80</v>
      </c>
      <c r="U6" t="s">
        <v>68</v>
      </c>
      <c r="W6" t="s">
        <v>49</v>
      </c>
      <c r="Z6">
        <v>6</v>
      </c>
      <c r="AA6" t="s">
        <v>50</v>
      </c>
      <c r="AB6" s="1">
        <v>46204.378518518519</v>
      </c>
      <c r="AC6" s="1">
        <v>46204.378587962958</v>
      </c>
      <c r="AD6" s="1">
        <v>46204.566006944442</v>
      </c>
      <c r="AE6">
        <v>16199</v>
      </c>
      <c r="AF6" t="s">
        <v>81</v>
      </c>
    </row>
    <row r="7" spans="1:32" hidden="1" x14ac:dyDescent="0.35">
      <c r="A7" t="s">
        <v>71</v>
      </c>
      <c r="B7" t="s">
        <v>82</v>
      </c>
      <c r="C7">
        <v>1666</v>
      </c>
      <c r="D7">
        <v>666</v>
      </c>
      <c r="E7" t="s">
        <v>73</v>
      </c>
      <c r="F7" t="s">
        <v>35</v>
      </c>
      <c r="G7" t="s">
        <v>36</v>
      </c>
      <c r="H7" t="s">
        <v>37</v>
      </c>
      <c r="I7">
        <v>0</v>
      </c>
      <c r="J7">
        <v>1</v>
      </c>
      <c r="K7" t="s">
        <v>38</v>
      </c>
      <c r="L7" t="s">
        <v>74</v>
      </c>
      <c r="M7" t="s">
        <v>75</v>
      </c>
      <c r="N7" t="s">
        <v>75</v>
      </c>
      <c r="O7" t="s">
        <v>76</v>
      </c>
      <c r="P7" t="s">
        <v>83</v>
      </c>
      <c r="Q7" t="s">
        <v>84</v>
      </c>
      <c r="R7" t="s">
        <v>79</v>
      </c>
      <c r="S7">
        <v>0</v>
      </c>
      <c r="T7" t="s">
        <v>80</v>
      </c>
      <c r="U7" t="s">
        <v>68</v>
      </c>
      <c r="W7" t="s">
        <v>49</v>
      </c>
      <c r="Z7">
        <v>4</v>
      </c>
      <c r="AA7" t="s">
        <v>50</v>
      </c>
      <c r="AB7" s="1">
        <v>46204.378541666672</v>
      </c>
      <c r="AC7" s="1">
        <v>46204.378587962958</v>
      </c>
      <c r="AD7" s="1">
        <v>46204.566006944442</v>
      </c>
      <c r="AE7">
        <v>16197</v>
      </c>
    </row>
    <row r="8" spans="1:32" hidden="1" x14ac:dyDescent="0.35">
      <c r="A8" t="s">
        <v>85</v>
      </c>
      <c r="B8" t="s">
        <v>86</v>
      </c>
      <c r="C8">
        <v>6997</v>
      </c>
      <c r="D8">
        <v>8726</v>
      </c>
      <c r="E8" t="s">
        <v>34</v>
      </c>
      <c r="F8" t="s">
        <v>87</v>
      </c>
      <c r="G8" t="s">
        <v>88</v>
      </c>
      <c r="H8" t="s">
        <v>89</v>
      </c>
      <c r="I8">
        <v>1</v>
      </c>
      <c r="J8">
        <v>1</v>
      </c>
      <c r="K8" t="s">
        <v>38</v>
      </c>
      <c r="L8" t="s">
        <v>39</v>
      </c>
      <c r="M8" t="s">
        <v>40</v>
      </c>
      <c r="N8" t="s">
        <v>41</v>
      </c>
      <c r="O8" t="s">
        <v>90</v>
      </c>
      <c r="P8" t="s">
        <v>91</v>
      </c>
      <c r="Q8" t="s">
        <v>92</v>
      </c>
      <c r="R8" t="s">
        <v>79</v>
      </c>
      <c r="S8">
        <v>0</v>
      </c>
      <c r="T8" t="s">
        <v>93</v>
      </c>
      <c r="U8" t="s">
        <v>68</v>
      </c>
      <c r="W8" t="s">
        <v>49</v>
      </c>
      <c r="Z8">
        <v>6</v>
      </c>
      <c r="AA8" t="s">
        <v>50</v>
      </c>
      <c r="AB8" s="1">
        <v>46205.003298611111</v>
      </c>
      <c r="AC8" s="1">
        <v>46205.003368055557</v>
      </c>
      <c r="AD8" s="1">
        <v>46205.064351851863</v>
      </c>
      <c r="AE8">
        <v>5275</v>
      </c>
      <c r="AF8" t="s">
        <v>94</v>
      </c>
    </row>
    <row r="9" spans="1:32" hidden="1" x14ac:dyDescent="0.35">
      <c r="A9" t="s">
        <v>85</v>
      </c>
      <c r="B9" t="s">
        <v>95</v>
      </c>
      <c r="C9">
        <v>6997</v>
      </c>
      <c r="D9">
        <v>8726</v>
      </c>
      <c r="E9" t="s">
        <v>34</v>
      </c>
      <c r="F9" t="s">
        <v>87</v>
      </c>
      <c r="G9" t="s">
        <v>88</v>
      </c>
      <c r="H9" t="s">
        <v>89</v>
      </c>
      <c r="I9">
        <v>0</v>
      </c>
      <c r="J9">
        <v>1</v>
      </c>
      <c r="K9" t="s">
        <v>38</v>
      </c>
      <c r="L9" t="s">
        <v>39</v>
      </c>
      <c r="M9" t="s">
        <v>40</v>
      </c>
      <c r="N9" t="s">
        <v>41</v>
      </c>
      <c r="O9" t="s">
        <v>90</v>
      </c>
      <c r="P9" t="s">
        <v>96</v>
      </c>
      <c r="Q9" t="s">
        <v>97</v>
      </c>
      <c r="R9" t="s">
        <v>79</v>
      </c>
      <c r="S9">
        <v>0</v>
      </c>
      <c r="T9" t="s">
        <v>93</v>
      </c>
      <c r="U9" t="s">
        <v>68</v>
      </c>
      <c r="W9" t="s">
        <v>49</v>
      </c>
      <c r="Z9">
        <v>5</v>
      </c>
      <c r="AA9" t="s">
        <v>50</v>
      </c>
      <c r="AB9" s="1">
        <v>46205.003518518519</v>
      </c>
      <c r="AC9" s="1">
        <v>46205.003576388888</v>
      </c>
      <c r="AD9" s="1">
        <v>46205.064351851863</v>
      </c>
      <c r="AE9">
        <v>5256</v>
      </c>
      <c r="AF9" t="s">
        <v>98</v>
      </c>
    </row>
    <row r="10" spans="1:32" hidden="1" x14ac:dyDescent="0.35">
      <c r="A10" t="s">
        <v>85</v>
      </c>
      <c r="B10" t="s">
        <v>99</v>
      </c>
      <c r="C10">
        <v>6997</v>
      </c>
      <c r="D10">
        <v>8726</v>
      </c>
      <c r="E10" t="s">
        <v>34</v>
      </c>
      <c r="F10" t="s">
        <v>87</v>
      </c>
      <c r="G10" t="s">
        <v>88</v>
      </c>
      <c r="H10" t="s">
        <v>89</v>
      </c>
      <c r="I10">
        <v>0</v>
      </c>
      <c r="J10">
        <v>1</v>
      </c>
      <c r="K10" t="s">
        <v>38</v>
      </c>
      <c r="L10" t="s">
        <v>39</v>
      </c>
      <c r="M10" t="s">
        <v>40</v>
      </c>
      <c r="N10" t="s">
        <v>41</v>
      </c>
      <c r="O10" t="s">
        <v>90</v>
      </c>
      <c r="P10" t="s">
        <v>100</v>
      </c>
      <c r="Q10" t="s">
        <v>101</v>
      </c>
      <c r="R10" t="s">
        <v>79</v>
      </c>
      <c r="S10">
        <v>0</v>
      </c>
      <c r="T10" t="s">
        <v>93</v>
      </c>
      <c r="U10" t="s">
        <v>68</v>
      </c>
      <c r="W10" t="s">
        <v>49</v>
      </c>
      <c r="Z10">
        <v>6</v>
      </c>
      <c r="AA10" t="s">
        <v>50</v>
      </c>
      <c r="AB10" s="1">
        <v>46205.003576388888</v>
      </c>
      <c r="AC10" s="1">
        <v>46205.003645833327</v>
      </c>
      <c r="AD10" s="1">
        <v>46205.064351851863</v>
      </c>
      <c r="AE10">
        <v>5251</v>
      </c>
      <c r="AF10" t="s">
        <v>102</v>
      </c>
    </row>
    <row r="11" spans="1:32" hidden="1" x14ac:dyDescent="0.35">
      <c r="A11" t="s">
        <v>85</v>
      </c>
      <c r="B11" t="s">
        <v>103</v>
      </c>
      <c r="C11">
        <v>6997</v>
      </c>
      <c r="D11">
        <v>8726</v>
      </c>
      <c r="E11" t="s">
        <v>34</v>
      </c>
      <c r="F11" t="s">
        <v>87</v>
      </c>
      <c r="G11" t="s">
        <v>88</v>
      </c>
      <c r="H11" t="s">
        <v>89</v>
      </c>
      <c r="I11">
        <v>0</v>
      </c>
      <c r="J11">
        <v>1</v>
      </c>
      <c r="K11" t="s">
        <v>38</v>
      </c>
      <c r="L11" t="s">
        <v>39</v>
      </c>
      <c r="M11" t="s">
        <v>40</v>
      </c>
      <c r="N11" t="s">
        <v>41</v>
      </c>
      <c r="O11" t="s">
        <v>90</v>
      </c>
      <c r="P11" t="s">
        <v>104</v>
      </c>
      <c r="Q11" t="s">
        <v>105</v>
      </c>
      <c r="R11" t="s">
        <v>79</v>
      </c>
      <c r="S11">
        <v>0</v>
      </c>
      <c r="T11" t="s">
        <v>93</v>
      </c>
      <c r="U11" t="s">
        <v>68</v>
      </c>
      <c r="W11" t="s">
        <v>49</v>
      </c>
      <c r="Z11">
        <v>5</v>
      </c>
      <c r="AA11" t="s">
        <v>50</v>
      </c>
      <c r="AB11" s="1">
        <v>46205.003587962958</v>
      </c>
      <c r="AC11" s="1">
        <v>46205.003645833327</v>
      </c>
      <c r="AD11" s="1">
        <v>46205.064351851863</v>
      </c>
      <c r="AE11">
        <v>5250</v>
      </c>
      <c r="AF11" t="s">
        <v>102</v>
      </c>
    </row>
    <row r="12" spans="1:32" hidden="1" x14ac:dyDescent="0.35">
      <c r="A12" t="s">
        <v>85</v>
      </c>
      <c r="B12" t="s">
        <v>106</v>
      </c>
      <c r="C12">
        <v>6997</v>
      </c>
      <c r="D12">
        <v>8726</v>
      </c>
      <c r="E12" t="s">
        <v>34</v>
      </c>
      <c r="F12" t="s">
        <v>87</v>
      </c>
      <c r="G12" t="s">
        <v>88</v>
      </c>
      <c r="H12" t="s">
        <v>89</v>
      </c>
      <c r="I12">
        <v>0</v>
      </c>
      <c r="J12">
        <v>1</v>
      </c>
      <c r="K12" t="s">
        <v>38</v>
      </c>
      <c r="L12" t="s">
        <v>39</v>
      </c>
      <c r="M12" t="s">
        <v>40</v>
      </c>
      <c r="N12" t="s">
        <v>41</v>
      </c>
      <c r="O12" t="s">
        <v>90</v>
      </c>
      <c r="P12" t="s">
        <v>107</v>
      </c>
      <c r="Q12" t="s">
        <v>108</v>
      </c>
      <c r="R12" t="s">
        <v>79</v>
      </c>
      <c r="S12">
        <v>0</v>
      </c>
      <c r="T12" t="s">
        <v>93</v>
      </c>
      <c r="U12" t="s">
        <v>68</v>
      </c>
      <c r="W12" t="s">
        <v>49</v>
      </c>
      <c r="Z12">
        <v>5</v>
      </c>
      <c r="AA12" t="s">
        <v>50</v>
      </c>
      <c r="AB12" s="1">
        <v>46205.003599537027</v>
      </c>
      <c r="AC12" s="1">
        <v>46205.003657407397</v>
      </c>
      <c r="AD12" s="1">
        <v>46205.064351851863</v>
      </c>
      <c r="AE12">
        <v>5249</v>
      </c>
      <c r="AF12" t="s">
        <v>102</v>
      </c>
    </row>
    <row r="13" spans="1:32" hidden="1" x14ac:dyDescent="0.35">
      <c r="A13" t="s">
        <v>85</v>
      </c>
      <c r="B13" t="s">
        <v>109</v>
      </c>
      <c r="C13">
        <v>6997</v>
      </c>
      <c r="D13">
        <v>8726</v>
      </c>
      <c r="E13" t="s">
        <v>34</v>
      </c>
      <c r="F13" t="s">
        <v>87</v>
      </c>
      <c r="G13" t="s">
        <v>88</v>
      </c>
      <c r="H13" t="s">
        <v>89</v>
      </c>
      <c r="I13">
        <v>0</v>
      </c>
      <c r="J13">
        <v>1</v>
      </c>
      <c r="K13" t="s">
        <v>38</v>
      </c>
      <c r="L13" t="s">
        <v>39</v>
      </c>
      <c r="M13" t="s">
        <v>40</v>
      </c>
      <c r="N13" t="s">
        <v>41</v>
      </c>
      <c r="O13" t="s">
        <v>90</v>
      </c>
      <c r="P13" t="s">
        <v>110</v>
      </c>
      <c r="Q13" t="s">
        <v>111</v>
      </c>
      <c r="R13" t="s">
        <v>79</v>
      </c>
      <c r="S13">
        <v>0</v>
      </c>
      <c r="T13" t="s">
        <v>93</v>
      </c>
      <c r="U13" t="s">
        <v>68</v>
      </c>
      <c r="W13" t="s">
        <v>49</v>
      </c>
      <c r="Z13">
        <v>7</v>
      </c>
      <c r="AA13" t="s">
        <v>50</v>
      </c>
      <c r="AB13" s="1">
        <v>46205.003703703696</v>
      </c>
      <c r="AC13" s="1">
        <v>46205.003784722219</v>
      </c>
      <c r="AD13" s="1">
        <v>46205.064351851863</v>
      </c>
      <c r="AE13">
        <v>5240</v>
      </c>
      <c r="AF13" t="s">
        <v>102</v>
      </c>
    </row>
    <row r="14" spans="1:32" hidden="1" x14ac:dyDescent="0.35">
      <c r="A14" t="s">
        <v>112</v>
      </c>
      <c r="B14" t="s">
        <v>113</v>
      </c>
      <c r="C14">
        <v>8240</v>
      </c>
      <c r="D14">
        <v>4316</v>
      </c>
      <c r="E14" t="s">
        <v>34</v>
      </c>
      <c r="F14" t="s">
        <v>35</v>
      </c>
      <c r="G14" t="s">
        <v>36</v>
      </c>
      <c r="H14" t="s">
        <v>37</v>
      </c>
      <c r="I14">
        <v>1</v>
      </c>
      <c r="J14">
        <v>1</v>
      </c>
      <c r="K14" t="s">
        <v>38</v>
      </c>
      <c r="L14" t="s">
        <v>39</v>
      </c>
      <c r="M14" t="s">
        <v>40</v>
      </c>
      <c r="N14" t="s">
        <v>41</v>
      </c>
      <c r="O14" t="s">
        <v>114</v>
      </c>
      <c r="P14" t="s">
        <v>115</v>
      </c>
      <c r="Q14" t="s">
        <v>116</v>
      </c>
      <c r="R14" t="s">
        <v>45</v>
      </c>
      <c r="S14">
        <v>0</v>
      </c>
      <c r="T14" t="s">
        <v>117</v>
      </c>
      <c r="U14" t="s">
        <v>118</v>
      </c>
      <c r="Z14">
        <v>8</v>
      </c>
      <c r="AA14" t="s">
        <v>50</v>
      </c>
      <c r="AB14" s="1">
        <v>46205.483807870369</v>
      </c>
      <c r="AC14" s="1">
        <v>46205.483900462961</v>
      </c>
      <c r="AD14" s="1">
        <v>46205.550034722219</v>
      </c>
      <c r="AE14">
        <v>5722</v>
      </c>
      <c r="AF14" t="s">
        <v>119</v>
      </c>
    </row>
    <row r="15" spans="1:32" hidden="1" x14ac:dyDescent="0.35">
      <c r="A15" t="s">
        <v>120</v>
      </c>
      <c r="B15" t="s">
        <v>121</v>
      </c>
      <c r="C15">
        <v>9018</v>
      </c>
      <c r="D15">
        <v>2144</v>
      </c>
      <c r="E15" t="s">
        <v>34</v>
      </c>
      <c r="F15" t="s">
        <v>87</v>
      </c>
      <c r="G15" t="s">
        <v>122</v>
      </c>
      <c r="H15" t="s">
        <v>123</v>
      </c>
      <c r="I15">
        <v>1</v>
      </c>
      <c r="J15">
        <v>1</v>
      </c>
      <c r="K15" t="s">
        <v>38</v>
      </c>
      <c r="L15" t="s">
        <v>39</v>
      </c>
      <c r="M15" t="s">
        <v>40</v>
      </c>
      <c r="N15" t="s">
        <v>41</v>
      </c>
      <c r="O15" t="s">
        <v>124</v>
      </c>
      <c r="P15" t="s">
        <v>125</v>
      </c>
      <c r="Q15" t="s">
        <v>126</v>
      </c>
      <c r="R15" t="s">
        <v>45</v>
      </c>
      <c r="S15">
        <v>0</v>
      </c>
      <c r="T15" t="s">
        <v>67</v>
      </c>
      <c r="U15" t="s">
        <v>118</v>
      </c>
      <c r="W15" t="s">
        <v>127</v>
      </c>
      <c r="Z15">
        <v>6</v>
      </c>
      <c r="AA15" t="s">
        <v>50</v>
      </c>
      <c r="AB15" s="1">
        <v>46205.582800925928</v>
      </c>
      <c r="AC15" s="1">
        <v>46205.582870370366</v>
      </c>
      <c r="AD15" s="1">
        <v>46205.735960648148</v>
      </c>
      <c r="AE15">
        <v>13233</v>
      </c>
      <c r="AF15" t="s">
        <v>128</v>
      </c>
    </row>
    <row r="16" spans="1:32" hidden="1" x14ac:dyDescent="0.35">
      <c r="A16" t="s">
        <v>129</v>
      </c>
      <c r="B16" t="s">
        <v>130</v>
      </c>
      <c r="C16">
        <v>8921</v>
      </c>
      <c r="D16">
        <v>7469</v>
      </c>
      <c r="E16" t="s">
        <v>34</v>
      </c>
      <c r="F16" t="s">
        <v>131</v>
      </c>
      <c r="G16" t="s">
        <v>132</v>
      </c>
      <c r="H16" t="s">
        <v>133</v>
      </c>
      <c r="I16">
        <v>1</v>
      </c>
      <c r="J16">
        <v>1</v>
      </c>
      <c r="K16" t="s">
        <v>38</v>
      </c>
      <c r="L16" t="s">
        <v>74</v>
      </c>
      <c r="M16" t="s">
        <v>75</v>
      </c>
      <c r="N16" t="s">
        <v>75</v>
      </c>
      <c r="O16" t="s">
        <v>134</v>
      </c>
      <c r="P16" t="s">
        <v>135</v>
      </c>
      <c r="Q16" t="s">
        <v>136</v>
      </c>
      <c r="R16" t="s">
        <v>45</v>
      </c>
      <c r="S16">
        <v>0</v>
      </c>
      <c r="T16" t="s">
        <v>57</v>
      </c>
      <c r="U16" t="s">
        <v>118</v>
      </c>
      <c r="W16" t="s">
        <v>69</v>
      </c>
      <c r="Z16">
        <v>5</v>
      </c>
      <c r="AA16" t="s">
        <v>50</v>
      </c>
      <c r="AB16" s="1">
        <v>46205.598124999997</v>
      </c>
      <c r="AC16" s="1">
        <v>46205.598182870373</v>
      </c>
      <c r="AD16" s="1">
        <v>46205.772407407407</v>
      </c>
      <c r="AE16">
        <v>15058</v>
      </c>
      <c r="AF16" t="s">
        <v>137</v>
      </c>
    </row>
    <row r="17" spans="1:32" hidden="1" x14ac:dyDescent="0.35">
      <c r="A17" t="s">
        <v>138</v>
      </c>
      <c r="B17" t="s">
        <v>139</v>
      </c>
      <c r="C17">
        <v>8921</v>
      </c>
      <c r="D17">
        <v>7469</v>
      </c>
      <c r="E17" t="s">
        <v>34</v>
      </c>
      <c r="F17" t="s">
        <v>131</v>
      </c>
      <c r="G17" t="s">
        <v>132</v>
      </c>
      <c r="H17" t="s">
        <v>133</v>
      </c>
      <c r="I17">
        <v>1</v>
      </c>
      <c r="J17">
        <v>1</v>
      </c>
      <c r="K17" t="s">
        <v>38</v>
      </c>
      <c r="L17" t="s">
        <v>39</v>
      </c>
      <c r="M17" t="s">
        <v>40</v>
      </c>
      <c r="N17" t="s">
        <v>41</v>
      </c>
      <c r="O17" t="s">
        <v>134</v>
      </c>
      <c r="P17" t="s">
        <v>140</v>
      </c>
      <c r="Q17" t="s">
        <v>141</v>
      </c>
      <c r="R17" t="s">
        <v>45</v>
      </c>
      <c r="S17">
        <v>0</v>
      </c>
      <c r="T17" t="s">
        <v>80</v>
      </c>
      <c r="U17" t="s">
        <v>118</v>
      </c>
      <c r="W17" t="s">
        <v>69</v>
      </c>
      <c r="Z17">
        <v>6</v>
      </c>
      <c r="AA17" t="s">
        <v>50</v>
      </c>
      <c r="AB17" s="1">
        <v>46205.601736111108</v>
      </c>
      <c r="AC17" s="1">
        <v>46205.601805555547</v>
      </c>
      <c r="AD17" s="1">
        <v>46205.620081018518</v>
      </c>
      <c r="AE17">
        <v>1585</v>
      </c>
      <c r="AF17" t="s">
        <v>142</v>
      </c>
    </row>
    <row r="18" spans="1:32" hidden="1" x14ac:dyDescent="0.35">
      <c r="A18" t="s">
        <v>138</v>
      </c>
      <c r="B18" t="s">
        <v>143</v>
      </c>
      <c r="C18">
        <v>8921</v>
      </c>
      <c r="D18">
        <v>7469</v>
      </c>
      <c r="E18" t="s">
        <v>34</v>
      </c>
      <c r="F18" t="s">
        <v>131</v>
      </c>
      <c r="G18" t="s">
        <v>132</v>
      </c>
      <c r="H18" t="s">
        <v>133</v>
      </c>
      <c r="I18">
        <v>0</v>
      </c>
      <c r="J18">
        <v>1</v>
      </c>
      <c r="K18" t="s">
        <v>38</v>
      </c>
      <c r="L18" t="s">
        <v>74</v>
      </c>
      <c r="M18" t="s">
        <v>75</v>
      </c>
      <c r="N18" t="s">
        <v>75</v>
      </c>
      <c r="O18" t="s">
        <v>134</v>
      </c>
      <c r="P18" t="s">
        <v>144</v>
      </c>
      <c r="Q18" t="s">
        <v>145</v>
      </c>
      <c r="R18" t="s">
        <v>45</v>
      </c>
      <c r="S18">
        <v>0</v>
      </c>
      <c r="T18" t="s">
        <v>80</v>
      </c>
      <c r="U18" t="s">
        <v>118</v>
      </c>
      <c r="W18" t="s">
        <v>69</v>
      </c>
      <c r="Z18">
        <v>3</v>
      </c>
      <c r="AA18" t="s">
        <v>50</v>
      </c>
      <c r="AB18" s="1">
        <v>46205.602685185193</v>
      </c>
      <c r="AC18" s="1">
        <v>46205.602719907409</v>
      </c>
      <c r="AD18" s="1">
        <v>46205.620081018518</v>
      </c>
      <c r="AE18">
        <v>1503</v>
      </c>
    </row>
    <row r="19" spans="1:32" hidden="1" x14ac:dyDescent="0.35">
      <c r="A19" t="s">
        <v>138</v>
      </c>
      <c r="B19" t="s">
        <v>146</v>
      </c>
      <c r="C19">
        <v>8921</v>
      </c>
      <c r="D19">
        <v>7469</v>
      </c>
      <c r="E19" t="s">
        <v>34</v>
      </c>
      <c r="F19" t="s">
        <v>131</v>
      </c>
      <c r="G19" t="s">
        <v>132</v>
      </c>
      <c r="H19" t="s">
        <v>133</v>
      </c>
      <c r="I19">
        <v>0</v>
      </c>
      <c r="J19">
        <v>1</v>
      </c>
      <c r="K19" t="s">
        <v>38</v>
      </c>
      <c r="L19" t="s">
        <v>39</v>
      </c>
      <c r="M19" t="s">
        <v>40</v>
      </c>
      <c r="N19" t="s">
        <v>41</v>
      </c>
      <c r="O19" t="s">
        <v>134</v>
      </c>
      <c r="P19" t="s">
        <v>147</v>
      </c>
      <c r="Q19" t="s">
        <v>148</v>
      </c>
      <c r="R19" t="s">
        <v>45</v>
      </c>
      <c r="S19">
        <v>0</v>
      </c>
      <c r="T19" t="s">
        <v>80</v>
      </c>
      <c r="U19" t="s">
        <v>118</v>
      </c>
      <c r="W19" t="s">
        <v>69</v>
      </c>
      <c r="Z19">
        <v>2</v>
      </c>
      <c r="AA19" t="s">
        <v>50</v>
      </c>
      <c r="AB19" s="1">
        <v>46205.602743055562</v>
      </c>
      <c r="AC19" s="1">
        <v>46205.602766203701</v>
      </c>
      <c r="AD19" s="1">
        <v>46205.620081018518</v>
      </c>
      <c r="AE19">
        <v>1498</v>
      </c>
    </row>
    <row r="20" spans="1:32" hidden="1" x14ac:dyDescent="0.35">
      <c r="A20" t="s">
        <v>138</v>
      </c>
      <c r="B20" t="s">
        <v>149</v>
      </c>
      <c r="C20">
        <v>8921</v>
      </c>
      <c r="D20">
        <v>7469</v>
      </c>
      <c r="E20" t="s">
        <v>34</v>
      </c>
      <c r="F20" t="s">
        <v>131</v>
      </c>
      <c r="G20" t="s">
        <v>132</v>
      </c>
      <c r="H20" t="s">
        <v>133</v>
      </c>
      <c r="I20">
        <v>0</v>
      </c>
      <c r="J20">
        <v>1</v>
      </c>
      <c r="K20" t="s">
        <v>38</v>
      </c>
      <c r="L20" t="s">
        <v>74</v>
      </c>
      <c r="M20" t="s">
        <v>75</v>
      </c>
      <c r="N20" t="s">
        <v>75</v>
      </c>
      <c r="O20" t="s">
        <v>134</v>
      </c>
      <c r="P20" t="s">
        <v>150</v>
      </c>
      <c r="Q20" t="s">
        <v>151</v>
      </c>
      <c r="R20" t="s">
        <v>45</v>
      </c>
      <c r="S20">
        <v>0</v>
      </c>
      <c r="T20" t="s">
        <v>80</v>
      </c>
      <c r="U20" t="s">
        <v>118</v>
      </c>
      <c r="W20" t="s">
        <v>69</v>
      </c>
      <c r="Z20">
        <v>4</v>
      </c>
      <c r="AA20" t="s">
        <v>50</v>
      </c>
      <c r="AB20" s="1">
        <v>46205.602905092594</v>
      </c>
      <c r="AC20" s="1">
        <v>46205.602951388893</v>
      </c>
      <c r="AD20" s="1">
        <v>46205.620081018518</v>
      </c>
      <c r="AE20">
        <v>1484</v>
      </c>
    </row>
    <row r="21" spans="1:32" hidden="1" x14ac:dyDescent="0.35">
      <c r="A21" t="s">
        <v>152</v>
      </c>
      <c r="B21" t="s">
        <v>153</v>
      </c>
      <c r="C21">
        <v>8921</v>
      </c>
      <c r="D21">
        <v>7469</v>
      </c>
      <c r="E21" t="s">
        <v>34</v>
      </c>
      <c r="F21" t="s">
        <v>131</v>
      </c>
      <c r="G21" t="s">
        <v>132</v>
      </c>
      <c r="H21" t="s">
        <v>133</v>
      </c>
      <c r="I21">
        <v>1</v>
      </c>
      <c r="J21">
        <v>1</v>
      </c>
      <c r="K21" t="s">
        <v>38</v>
      </c>
      <c r="L21" t="s">
        <v>39</v>
      </c>
      <c r="M21" t="s">
        <v>40</v>
      </c>
      <c r="N21" t="s">
        <v>41</v>
      </c>
      <c r="O21" t="s">
        <v>134</v>
      </c>
      <c r="P21" t="s">
        <v>140</v>
      </c>
      <c r="Q21" t="s">
        <v>141</v>
      </c>
      <c r="R21" t="s">
        <v>45</v>
      </c>
      <c r="S21">
        <v>0</v>
      </c>
      <c r="T21" t="s">
        <v>67</v>
      </c>
      <c r="U21" t="s">
        <v>118</v>
      </c>
      <c r="W21" t="s">
        <v>69</v>
      </c>
      <c r="Z21">
        <v>8</v>
      </c>
      <c r="AA21" t="s">
        <v>50</v>
      </c>
      <c r="AB21" s="1">
        <v>46205.652685185189</v>
      </c>
      <c r="AC21" s="1">
        <v>46205.652777777781</v>
      </c>
      <c r="AD21" s="1">
        <v>46205.758599537039</v>
      </c>
      <c r="AE21">
        <v>9151</v>
      </c>
      <c r="AF21" t="s">
        <v>154</v>
      </c>
    </row>
    <row r="22" spans="1:32" hidden="1" x14ac:dyDescent="0.35">
      <c r="A22" t="s">
        <v>155</v>
      </c>
      <c r="B22" t="s">
        <v>156</v>
      </c>
      <c r="C22">
        <v>9060</v>
      </c>
      <c r="D22">
        <v>2988</v>
      </c>
      <c r="E22" t="s">
        <v>34</v>
      </c>
      <c r="F22" t="s">
        <v>87</v>
      </c>
      <c r="G22" t="s">
        <v>88</v>
      </c>
      <c r="H22" t="s">
        <v>89</v>
      </c>
      <c r="I22">
        <v>1</v>
      </c>
      <c r="J22">
        <v>1</v>
      </c>
      <c r="K22" t="s">
        <v>38</v>
      </c>
      <c r="L22" t="s">
        <v>39</v>
      </c>
      <c r="M22" t="s">
        <v>40</v>
      </c>
      <c r="N22" t="s">
        <v>41</v>
      </c>
      <c r="O22" t="s">
        <v>157</v>
      </c>
      <c r="P22" t="s">
        <v>158</v>
      </c>
      <c r="Q22" t="s">
        <v>159</v>
      </c>
      <c r="R22" t="s">
        <v>45</v>
      </c>
      <c r="S22">
        <v>0</v>
      </c>
      <c r="T22" t="s">
        <v>160</v>
      </c>
      <c r="U22" t="s">
        <v>68</v>
      </c>
      <c r="W22" t="s">
        <v>127</v>
      </c>
      <c r="Z22">
        <v>7</v>
      </c>
      <c r="AA22" t="s">
        <v>50</v>
      </c>
      <c r="AB22" s="1">
        <v>46206.297280092593</v>
      </c>
      <c r="AC22" s="1">
        <v>46206.297361111108</v>
      </c>
      <c r="AD22" s="1">
        <v>46206.397962962961</v>
      </c>
      <c r="AE22">
        <v>8699</v>
      </c>
      <c r="AF22" t="s">
        <v>161</v>
      </c>
    </row>
    <row r="23" spans="1:32" hidden="1" x14ac:dyDescent="0.35">
      <c r="A23" t="s">
        <v>155</v>
      </c>
      <c r="B23" t="s">
        <v>162</v>
      </c>
      <c r="C23">
        <v>9060</v>
      </c>
      <c r="D23">
        <v>2988</v>
      </c>
      <c r="E23" t="s">
        <v>34</v>
      </c>
      <c r="F23" t="s">
        <v>87</v>
      </c>
      <c r="G23" t="s">
        <v>88</v>
      </c>
      <c r="H23" t="s">
        <v>89</v>
      </c>
      <c r="I23">
        <v>0</v>
      </c>
      <c r="J23">
        <v>1</v>
      </c>
      <c r="K23" t="s">
        <v>38</v>
      </c>
      <c r="L23" t="s">
        <v>39</v>
      </c>
      <c r="M23" t="s">
        <v>40</v>
      </c>
      <c r="N23" t="s">
        <v>41</v>
      </c>
      <c r="O23" t="s">
        <v>157</v>
      </c>
      <c r="P23" t="s">
        <v>163</v>
      </c>
      <c r="Q23" t="s">
        <v>164</v>
      </c>
      <c r="R23" t="s">
        <v>45</v>
      </c>
      <c r="S23">
        <v>0</v>
      </c>
      <c r="T23" t="s">
        <v>160</v>
      </c>
      <c r="U23" t="s">
        <v>68</v>
      </c>
      <c r="W23" t="s">
        <v>127</v>
      </c>
      <c r="Z23">
        <v>7</v>
      </c>
      <c r="AA23" t="s">
        <v>50</v>
      </c>
      <c r="AB23" s="1">
        <v>46206.297303240739</v>
      </c>
      <c r="AC23" s="1">
        <v>46206.297384259262</v>
      </c>
      <c r="AD23" s="1">
        <v>46206.397962962961</v>
      </c>
      <c r="AE23">
        <v>8697</v>
      </c>
    </row>
    <row r="24" spans="1:32" hidden="1" x14ac:dyDescent="0.35">
      <c r="A24" t="s">
        <v>165</v>
      </c>
      <c r="B24" t="s">
        <v>166</v>
      </c>
      <c r="C24">
        <v>6023</v>
      </c>
      <c r="D24">
        <v>1055</v>
      </c>
      <c r="E24" t="s">
        <v>34</v>
      </c>
      <c r="F24" t="s">
        <v>167</v>
      </c>
      <c r="G24" t="s">
        <v>167</v>
      </c>
      <c r="H24" t="s">
        <v>168</v>
      </c>
      <c r="I24">
        <v>0</v>
      </c>
      <c r="J24">
        <v>1</v>
      </c>
      <c r="K24" t="s">
        <v>38</v>
      </c>
      <c r="L24" t="s">
        <v>39</v>
      </c>
      <c r="M24" t="s">
        <v>40</v>
      </c>
      <c r="N24" t="s">
        <v>41</v>
      </c>
      <c r="O24" t="s">
        <v>169</v>
      </c>
      <c r="P24" t="s">
        <v>170</v>
      </c>
      <c r="Q24" t="s">
        <v>171</v>
      </c>
      <c r="R24" t="s">
        <v>45</v>
      </c>
      <c r="S24">
        <v>0</v>
      </c>
      <c r="T24" t="s">
        <v>46</v>
      </c>
      <c r="U24" t="s">
        <v>172</v>
      </c>
      <c r="Z24">
        <v>7</v>
      </c>
      <c r="AA24" t="s">
        <v>50</v>
      </c>
      <c r="AB24" s="1">
        <v>46207.682488425933</v>
      </c>
      <c r="AC24" s="1">
        <v>46207.682569444441</v>
      </c>
      <c r="AD24" s="1">
        <v>46207.690752314818</v>
      </c>
      <c r="AE24">
        <v>714</v>
      </c>
    </row>
    <row r="25" spans="1:32" x14ac:dyDescent="0.35">
      <c r="A25" t="s">
        <v>173</v>
      </c>
      <c r="B25" t="s">
        <v>174</v>
      </c>
      <c r="C25">
        <v>5494</v>
      </c>
      <c r="D25" s="2">
        <v>1126</v>
      </c>
      <c r="E25" t="s">
        <v>34</v>
      </c>
      <c r="F25" t="s">
        <v>35</v>
      </c>
      <c r="G25" t="s">
        <v>36</v>
      </c>
      <c r="H25" t="s">
        <v>175</v>
      </c>
      <c r="I25">
        <v>1</v>
      </c>
      <c r="J25">
        <v>1</v>
      </c>
      <c r="K25" t="s">
        <v>38</v>
      </c>
      <c r="L25" t="s">
        <v>39</v>
      </c>
      <c r="M25" t="s">
        <v>40</v>
      </c>
      <c r="N25" t="s">
        <v>41</v>
      </c>
      <c r="O25" t="s">
        <v>176</v>
      </c>
      <c r="P25" t="s">
        <v>177</v>
      </c>
      <c r="Q25" t="s">
        <v>178</v>
      </c>
      <c r="R25" t="s">
        <v>45</v>
      </c>
      <c r="S25">
        <v>0</v>
      </c>
      <c r="T25" t="s">
        <v>179</v>
      </c>
      <c r="U25" t="s">
        <v>180</v>
      </c>
      <c r="V25" s="2" t="s">
        <v>48</v>
      </c>
      <c r="W25" s="2"/>
      <c r="X25" s="2" t="b">
        <f t="shared" si="0"/>
        <v>0</v>
      </c>
      <c r="Z25">
        <v>8</v>
      </c>
      <c r="AA25" t="s">
        <v>50</v>
      </c>
      <c r="AB25" s="1">
        <v>46211.594976851848</v>
      </c>
      <c r="AC25" s="1">
        <v>46211.595069444447</v>
      </c>
      <c r="AD25" s="1">
        <v>46211.627210648148</v>
      </c>
      <c r="AE25">
        <v>2785</v>
      </c>
      <c r="AF25" t="s">
        <v>181</v>
      </c>
    </row>
    <row r="26" spans="1:32" x14ac:dyDescent="0.35">
      <c r="A26" t="s">
        <v>173</v>
      </c>
      <c r="B26" t="s">
        <v>182</v>
      </c>
      <c r="C26">
        <v>5494</v>
      </c>
      <c r="D26" s="2">
        <v>1126</v>
      </c>
      <c r="E26" t="s">
        <v>34</v>
      </c>
      <c r="F26" t="s">
        <v>35</v>
      </c>
      <c r="G26" t="s">
        <v>36</v>
      </c>
      <c r="H26" t="s">
        <v>175</v>
      </c>
      <c r="I26">
        <v>0</v>
      </c>
      <c r="J26">
        <v>1</v>
      </c>
      <c r="K26" t="s">
        <v>38</v>
      </c>
      <c r="L26" t="s">
        <v>39</v>
      </c>
      <c r="M26" t="s">
        <v>40</v>
      </c>
      <c r="N26" t="s">
        <v>41</v>
      </c>
      <c r="O26" t="s">
        <v>176</v>
      </c>
      <c r="P26" t="s">
        <v>183</v>
      </c>
      <c r="Q26" t="s">
        <v>184</v>
      </c>
      <c r="R26" t="s">
        <v>45</v>
      </c>
      <c r="S26">
        <v>0</v>
      </c>
      <c r="T26" t="s">
        <v>179</v>
      </c>
      <c r="U26" t="s">
        <v>180</v>
      </c>
      <c r="V26" s="2" t="s">
        <v>48</v>
      </c>
      <c r="W26" s="2"/>
      <c r="X26" s="2" t="b">
        <f t="shared" si="0"/>
        <v>0</v>
      </c>
      <c r="Z26">
        <v>9</v>
      </c>
      <c r="AA26" t="s">
        <v>50</v>
      </c>
      <c r="AB26" s="1">
        <v>46211.595208333332</v>
      </c>
      <c r="AC26" s="1">
        <v>46211.595312500001</v>
      </c>
      <c r="AD26" s="1">
        <v>46211.626377314817</v>
      </c>
      <c r="AE26">
        <v>2693</v>
      </c>
      <c r="AF26" t="s">
        <v>185</v>
      </c>
    </row>
    <row r="27" spans="1:32" x14ac:dyDescent="0.35">
      <c r="A27" t="s">
        <v>173</v>
      </c>
      <c r="B27" t="s">
        <v>186</v>
      </c>
      <c r="C27">
        <v>5494</v>
      </c>
      <c r="D27" s="2">
        <v>1126</v>
      </c>
      <c r="E27" t="s">
        <v>34</v>
      </c>
      <c r="F27" t="s">
        <v>35</v>
      </c>
      <c r="G27" t="s">
        <v>36</v>
      </c>
      <c r="H27" t="s">
        <v>175</v>
      </c>
      <c r="I27">
        <v>0</v>
      </c>
      <c r="J27">
        <v>1</v>
      </c>
      <c r="K27" t="s">
        <v>38</v>
      </c>
      <c r="L27" t="s">
        <v>39</v>
      </c>
      <c r="M27" t="s">
        <v>40</v>
      </c>
      <c r="N27" t="s">
        <v>41</v>
      </c>
      <c r="O27" t="s">
        <v>176</v>
      </c>
      <c r="P27" t="s">
        <v>187</v>
      </c>
      <c r="Q27" t="s">
        <v>159</v>
      </c>
      <c r="R27" t="s">
        <v>45</v>
      </c>
      <c r="S27">
        <v>0</v>
      </c>
      <c r="T27" t="s">
        <v>179</v>
      </c>
      <c r="U27" t="s">
        <v>180</v>
      </c>
      <c r="V27" s="2" t="s">
        <v>48</v>
      </c>
      <c r="W27" s="2"/>
      <c r="X27" s="2" t="b">
        <f t="shared" si="0"/>
        <v>0</v>
      </c>
      <c r="Z27">
        <v>4</v>
      </c>
      <c r="AA27" t="s">
        <v>50</v>
      </c>
      <c r="AB27" s="1">
        <v>46211.597858796304</v>
      </c>
      <c r="AC27" s="1">
        <v>46211.597905092603</v>
      </c>
      <c r="AD27" s="1">
        <v>46211.626666666663</v>
      </c>
      <c r="AE27">
        <v>2489</v>
      </c>
      <c r="AF27" t="s">
        <v>188</v>
      </c>
    </row>
    <row r="28" spans="1:32" x14ac:dyDescent="0.35">
      <c r="A28" t="s">
        <v>173</v>
      </c>
      <c r="B28" t="s">
        <v>189</v>
      </c>
      <c r="C28">
        <v>5494</v>
      </c>
      <c r="D28" s="2">
        <v>1126</v>
      </c>
      <c r="E28" t="s">
        <v>34</v>
      </c>
      <c r="F28" t="s">
        <v>35</v>
      </c>
      <c r="G28" t="s">
        <v>36</v>
      </c>
      <c r="H28" t="s">
        <v>175</v>
      </c>
      <c r="I28">
        <v>0</v>
      </c>
      <c r="J28">
        <v>1</v>
      </c>
      <c r="K28" t="s">
        <v>38</v>
      </c>
      <c r="L28" t="s">
        <v>39</v>
      </c>
      <c r="M28" t="s">
        <v>40</v>
      </c>
      <c r="N28" t="s">
        <v>41</v>
      </c>
      <c r="O28" t="s">
        <v>176</v>
      </c>
      <c r="P28" t="s">
        <v>190</v>
      </c>
      <c r="Q28" t="s">
        <v>164</v>
      </c>
      <c r="R28" t="s">
        <v>45</v>
      </c>
      <c r="S28">
        <v>0</v>
      </c>
      <c r="T28" t="s">
        <v>179</v>
      </c>
      <c r="U28" t="s">
        <v>47</v>
      </c>
      <c r="V28" s="2" t="s">
        <v>48</v>
      </c>
      <c r="W28" s="2"/>
      <c r="X28" s="2" t="b">
        <f t="shared" si="0"/>
        <v>0</v>
      </c>
      <c r="Z28">
        <v>8</v>
      </c>
      <c r="AA28" t="s">
        <v>50</v>
      </c>
      <c r="AB28" s="1">
        <v>46211.597893518519</v>
      </c>
      <c r="AC28" s="1">
        <v>46211.597986111112</v>
      </c>
      <c r="AD28" s="1">
        <v>46211.626909722218</v>
      </c>
      <c r="AE28">
        <v>2507</v>
      </c>
      <c r="AF28" t="s">
        <v>191</v>
      </c>
    </row>
    <row r="29" spans="1:32" hidden="1" x14ac:dyDescent="0.35">
      <c r="A29" t="s">
        <v>192</v>
      </c>
      <c r="B29" t="s">
        <v>193</v>
      </c>
      <c r="C29">
        <v>7653</v>
      </c>
      <c r="D29">
        <v>6628</v>
      </c>
      <c r="E29" t="s">
        <v>34</v>
      </c>
      <c r="F29" t="s">
        <v>35</v>
      </c>
      <c r="G29" t="s">
        <v>36</v>
      </c>
      <c r="H29" t="s">
        <v>194</v>
      </c>
      <c r="I29">
        <v>1</v>
      </c>
      <c r="J29">
        <v>1</v>
      </c>
      <c r="K29" t="s">
        <v>38</v>
      </c>
      <c r="L29" t="s">
        <v>39</v>
      </c>
      <c r="M29" t="s">
        <v>40</v>
      </c>
      <c r="N29" t="s">
        <v>41</v>
      </c>
      <c r="O29" t="s">
        <v>195</v>
      </c>
      <c r="P29" t="s">
        <v>196</v>
      </c>
      <c r="Q29" t="s">
        <v>197</v>
      </c>
      <c r="R29" t="s">
        <v>45</v>
      </c>
      <c r="S29">
        <v>0</v>
      </c>
      <c r="T29" t="s">
        <v>57</v>
      </c>
      <c r="U29" t="s">
        <v>68</v>
      </c>
      <c r="W29" t="s">
        <v>49</v>
      </c>
      <c r="Z29">
        <v>12</v>
      </c>
      <c r="AA29" t="s">
        <v>50</v>
      </c>
      <c r="AB29" s="1">
        <v>46213.262835648151</v>
      </c>
      <c r="AC29" s="1">
        <v>46213.262974537043</v>
      </c>
      <c r="AD29" s="1">
        <v>46213.44462962963</v>
      </c>
      <c r="AE29">
        <v>15707</v>
      </c>
      <c r="AF29" t="s">
        <v>198</v>
      </c>
    </row>
    <row r="30" spans="1:32" x14ac:dyDescent="0.35">
      <c r="A30" t="s">
        <v>199</v>
      </c>
      <c r="B30" t="s">
        <v>200</v>
      </c>
      <c r="C30">
        <v>7866</v>
      </c>
      <c r="D30" s="2">
        <v>2054</v>
      </c>
      <c r="E30" t="s">
        <v>34</v>
      </c>
      <c r="F30" t="s">
        <v>87</v>
      </c>
      <c r="G30" t="s">
        <v>201</v>
      </c>
      <c r="H30" t="s">
        <v>202</v>
      </c>
      <c r="I30">
        <v>1</v>
      </c>
      <c r="J30">
        <v>1</v>
      </c>
      <c r="K30" t="s">
        <v>38</v>
      </c>
      <c r="L30" t="s">
        <v>39</v>
      </c>
      <c r="M30" t="s">
        <v>40</v>
      </c>
      <c r="N30" t="s">
        <v>41</v>
      </c>
      <c r="O30" t="s">
        <v>203</v>
      </c>
      <c r="P30" t="s">
        <v>204</v>
      </c>
      <c r="Q30" t="s">
        <v>205</v>
      </c>
      <c r="R30" t="s">
        <v>45</v>
      </c>
      <c r="S30">
        <v>0</v>
      </c>
      <c r="T30" t="s">
        <v>57</v>
      </c>
      <c r="U30" t="s">
        <v>47</v>
      </c>
      <c r="V30" s="2" t="s">
        <v>206</v>
      </c>
      <c r="W30" s="2" t="s">
        <v>207</v>
      </c>
      <c r="X30" s="2" t="b">
        <f t="shared" si="0"/>
        <v>0</v>
      </c>
      <c r="Z30">
        <v>7</v>
      </c>
      <c r="AA30" t="s">
        <v>50</v>
      </c>
      <c r="AB30" s="1">
        <v>46213.333425925928</v>
      </c>
      <c r="AC30" s="1">
        <v>46213.333506944437</v>
      </c>
      <c r="AD30" s="1">
        <v>46213.465266203697</v>
      </c>
      <c r="AE30">
        <v>11391</v>
      </c>
      <c r="AF30" t="s">
        <v>208</v>
      </c>
    </row>
    <row r="31" spans="1:32" x14ac:dyDescent="0.35">
      <c r="A31" t="s">
        <v>209</v>
      </c>
      <c r="B31" t="s">
        <v>210</v>
      </c>
      <c r="C31">
        <v>6904</v>
      </c>
      <c r="D31" s="2">
        <v>4697</v>
      </c>
      <c r="E31" t="s">
        <v>34</v>
      </c>
      <c r="F31" t="s">
        <v>167</v>
      </c>
      <c r="G31" t="s">
        <v>167</v>
      </c>
      <c r="H31" t="s">
        <v>211</v>
      </c>
      <c r="I31">
        <v>1</v>
      </c>
      <c r="J31">
        <v>1</v>
      </c>
      <c r="K31" t="s">
        <v>38</v>
      </c>
      <c r="L31" t="s">
        <v>74</v>
      </c>
      <c r="M31" t="s">
        <v>75</v>
      </c>
      <c r="N31" t="s">
        <v>75</v>
      </c>
      <c r="O31" t="s">
        <v>212</v>
      </c>
      <c r="P31" t="s">
        <v>213</v>
      </c>
      <c r="Q31" t="s">
        <v>136</v>
      </c>
      <c r="R31" t="s">
        <v>79</v>
      </c>
      <c r="S31">
        <v>1</v>
      </c>
      <c r="T31" t="s">
        <v>57</v>
      </c>
      <c r="U31" t="s">
        <v>47</v>
      </c>
      <c r="V31" s="2" t="s">
        <v>206</v>
      </c>
      <c r="W31" s="2" t="s">
        <v>207</v>
      </c>
      <c r="X31" s="2" t="b">
        <f t="shared" si="0"/>
        <v>0</v>
      </c>
      <c r="Z31">
        <v>3</v>
      </c>
      <c r="AA31" t="s">
        <v>50</v>
      </c>
      <c r="AB31" s="1">
        <v>46213.34752314815</v>
      </c>
      <c r="AC31" s="1">
        <v>46213.347557870373</v>
      </c>
      <c r="AD31" s="1">
        <v>46213.502268518518</v>
      </c>
      <c r="AE31">
        <v>13370</v>
      </c>
      <c r="AF31" t="s">
        <v>214</v>
      </c>
    </row>
    <row r="32" spans="1:32" x14ac:dyDescent="0.35">
      <c r="A32" t="s">
        <v>215</v>
      </c>
      <c r="B32" t="s">
        <v>216</v>
      </c>
      <c r="C32">
        <v>7946</v>
      </c>
      <c r="D32" s="2">
        <v>5077</v>
      </c>
      <c r="E32" t="s">
        <v>34</v>
      </c>
      <c r="F32" t="s">
        <v>35</v>
      </c>
      <c r="G32" t="s">
        <v>36</v>
      </c>
      <c r="H32" t="s">
        <v>37</v>
      </c>
      <c r="I32">
        <v>0</v>
      </c>
      <c r="J32">
        <v>3</v>
      </c>
      <c r="K32" t="s">
        <v>217</v>
      </c>
      <c r="L32" t="s">
        <v>218</v>
      </c>
      <c r="M32" t="s">
        <v>219</v>
      </c>
      <c r="N32" t="s">
        <v>220</v>
      </c>
      <c r="O32" t="s">
        <v>221</v>
      </c>
      <c r="P32" t="s">
        <v>222</v>
      </c>
      <c r="Q32" t="s">
        <v>223</v>
      </c>
      <c r="R32" t="s">
        <v>45</v>
      </c>
      <c r="S32">
        <v>0</v>
      </c>
      <c r="T32" t="s">
        <v>117</v>
      </c>
      <c r="U32" t="s">
        <v>47</v>
      </c>
      <c r="V32" s="2" t="s">
        <v>127</v>
      </c>
      <c r="W32" s="2" t="s">
        <v>49</v>
      </c>
      <c r="X32" s="2" t="b">
        <f t="shared" si="0"/>
        <v>0</v>
      </c>
      <c r="Z32">
        <v>1</v>
      </c>
      <c r="AA32" t="s">
        <v>50</v>
      </c>
      <c r="AB32" s="1">
        <v>46214.464444444442</v>
      </c>
      <c r="AC32" s="1">
        <v>46214.464456018519</v>
      </c>
      <c r="AD32" s="1">
        <v>46214.473263888889</v>
      </c>
      <c r="AE32">
        <v>762</v>
      </c>
      <c r="AF32" t="s">
        <v>224</v>
      </c>
    </row>
    <row r="33" spans="1:32" x14ac:dyDescent="0.35">
      <c r="A33" t="s">
        <v>215</v>
      </c>
      <c r="B33" t="s">
        <v>225</v>
      </c>
      <c r="C33">
        <v>7946</v>
      </c>
      <c r="D33" s="2">
        <v>7980</v>
      </c>
      <c r="E33" t="s">
        <v>34</v>
      </c>
      <c r="F33" t="s">
        <v>35</v>
      </c>
      <c r="G33" t="s">
        <v>36</v>
      </c>
      <c r="H33" t="s">
        <v>37</v>
      </c>
      <c r="I33">
        <v>0</v>
      </c>
      <c r="J33">
        <v>3</v>
      </c>
      <c r="K33" t="s">
        <v>217</v>
      </c>
      <c r="L33" t="s">
        <v>218</v>
      </c>
      <c r="M33" t="s">
        <v>219</v>
      </c>
      <c r="N33" t="s">
        <v>220</v>
      </c>
      <c r="O33" t="s">
        <v>221</v>
      </c>
      <c r="P33" t="s">
        <v>226</v>
      </c>
      <c r="Q33" t="s">
        <v>227</v>
      </c>
      <c r="R33" t="s">
        <v>45</v>
      </c>
      <c r="S33">
        <v>1</v>
      </c>
      <c r="T33" t="s">
        <v>117</v>
      </c>
      <c r="U33" t="s">
        <v>47</v>
      </c>
      <c r="V33" s="2" t="s">
        <v>127</v>
      </c>
      <c r="W33" s="2" t="s">
        <v>49</v>
      </c>
      <c r="X33" s="2" t="b">
        <f t="shared" si="0"/>
        <v>0</v>
      </c>
      <c r="Z33">
        <v>1</v>
      </c>
      <c r="AA33" t="s">
        <v>50</v>
      </c>
      <c r="AB33" s="1">
        <v>46214.465081018519</v>
      </c>
      <c r="AC33" s="1">
        <v>46214.465092592603</v>
      </c>
      <c r="AD33" s="1">
        <v>46214.473263888889</v>
      </c>
      <c r="AE33">
        <v>707</v>
      </c>
      <c r="AF33" t="s">
        <v>224</v>
      </c>
    </row>
    <row r="34" spans="1:32" x14ac:dyDescent="0.35">
      <c r="A34" t="s">
        <v>215</v>
      </c>
      <c r="B34" t="s">
        <v>228</v>
      </c>
      <c r="C34">
        <v>7946</v>
      </c>
      <c r="D34" s="2">
        <v>5077</v>
      </c>
      <c r="E34" t="s">
        <v>34</v>
      </c>
      <c r="F34" t="s">
        <v>35</v>
      </c>
      <c r="G34" t="s">
        <v>36</v>
      </c>
      <c r="H34" t="s">
        <v>37</v>
      </c>
      <c r="I34">
        <v>0</v>
      </c>
      <c r="J34">
        <v>3</v>
      </c>
      <c r="K34" t="s">
        <v>217</v>
      </c>
      <c r="L34" t="s">
        <v>218</v>
      </c>
      <c r="M34" t="s">
        <v>219</v>
      </c>
      <c r="N34" t="s">
        <v>220</v>
      </c>
      <c r="O34" t="s">
        <v>229</v>
      </c>
      <c r="P34" t="s">
        <v>230</v>
      </c>
      <c r="Q34" t="s">
        <v>231</v>
      </c>
      <c r="R34" t="s">
        <v>45</v>
      </c>
      <c r="S34">
        <v>0</v>
      </c>
      <c r="T34" t="s">
        <v>117</v>
      </c>
      <c r="U34" t="s">
        <v>47</v>
      </c>
      <c r="V34" s="2" t="s">
        <v>127</v>
      </c>
      <c r="W34" s="2" t="s">
        <v>49</v>
      </c>
      <c r="X34" s="2" t="b">
        <f t="shared" si="0"/>
        <v>0</v>
      </c>
      <c r="Z34">
        <v>1</v>
      </c>
      <c r="AA34" t="s">
        <v>50</v>
      </c>
      <c r="AB34" s="1">
        <v>46214.465081018519</v>
      </c>
      <c r="AC34" s="1">
        <v>46214.465092592603</v>
      </c>
      <c r="AD34" s="1">
        <v>46214.473263888889</v>
      </c>
      <c r="AE34">
        <v>707</v>
      </c>
      <c r="AF34" t="s">
        <v>224</v>
      </c>
    </row>
    <row r="35" spans="1:32" hidden="1" x14ac:dyDescent="0.35">
      <c r="A35" t="s">
        <v>232</v>
      </c>
      <c r="B35" t="s">
        <v>233</v>
      </c>
      <c r="C35">
        <v>7482</v>
      </c>
      <c r="D35">
        <v>7121</v>
      </c>
      <c r="E35" t="s">
        <v>34</v>
      </c>
      <c r="F35" t="s">
        <v>35</v>
      </c>
      <c r="G35" t="s">
        <v>36</v>
      </c>
      <c r="H35" t="s">
        <v>37</v>
      </c>
      <c r="I35">
        <v>0</v>
      </c>
      <c r="J35">
        <v>1</v>
      </c>
      <c r="K35" t="s">
        <v>38</v>
      </c>
      <c r="L35" t="s">
        <v>39</v>
      </c>
      <c r="M35" t="s">
        <v>40</v>
      </c>
      <c r="N35" t="s">
        <v>41</v>
      </c>
      <c r="O35" t="s">
        <v>234</v>
      </c>
      <c r="P35" t="s">
        <v>235</v>
      </c>
      <c r="Q35" t="s">
        <v>236</v>
      </c>
      <c r="R35" t="s">
        <v>79</v>
      </c>
      <c r="S35">
        <v>0</v>
      </c>
      <c r="T35" t="s">
        <v>179</v>
      </c>
      <c r="U35" t="s">
        <v>68</v>
      </c>
      <c r="W35" t="s">
        <v>48</v>
      </c>
      <c r="Z35">
        <v>4</v>
      </c>
      <c r="AA35" t="s">
        <v>50</v>
      </c>
      <c r="AB35" s="1">
        <v>46216.268379629633</v>
      </c>
      <c r="AC35" s="1">
        <v>46216.268425925933</v>
      </c>
      <c r="AD35" s="1">
        <v>46216.472314814811</v>
      </c>
      <c r="AE35">
        <v>17620</v>
      </c>
    </row>
  </sheetData>
  <autoFilter ref="A1:AF35" xr:uid="{00000000-0001-0000-0000-000000000000}">
    <filterColumn colId="20">
      <filters>
        <filter val="Mal manejo"/>
        <filter val="Mal manejo (Reacción)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Mismatches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Darkcaos64</cp:lastModifiedBy>
  <dcterms:created xsi:type="dcterms:W3CDTF">2026-07-27T19:34:19Z</dcterms:created>
  <dcterms:modified xsi:type="dcterms:W3CDTF">2026-07-27T19:38:30Z</dcterms:modified>
</cp:coreProperties>
</file>