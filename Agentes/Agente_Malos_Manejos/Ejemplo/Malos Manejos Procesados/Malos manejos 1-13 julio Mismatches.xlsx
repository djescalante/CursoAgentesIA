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FechaReconocimiento</t>
        </is>
      </c>
      <c r="AD1" t="inlineStr">
        <is>
          <t>FechaCierre</t>
        </is>
      </c>
      <c r="AE1" t="inlineStr">
        <is>
          <t>ANS_cierre</t>
        </is>
      </c>
      <c r="AF1" t="inlineStr">
        <is>
          <t>NotasResumenGrupo</t>
        </is>
      </c>
    </row>
    <row r="2">
      <c r="A2" t="inlineStr">
        <is>
          <t>6686EB1E-3B2A-4317-9420-10DBCFF06F61</t>
        </is>
      </c>
      <c r="B2" t="inlineStr">
        <is>
          <t>461CF3A4-6E6A-4A85-9A89-DFB9756B36D7</t>
        </is>
      </c>
      <c r="C2" t="n">
        <v>9326</v>
      </c>
      <c r="D2" t="n">
        <v>7156</v>
      </c>
      <c r="E2" t="inlineStr">
        <is>
          <t>ATM</t>
        </is>
      </c>
      <c r="F2" t="inlineStr">
        <is>
          <t>CARIBE</t>
        </is>
      </c>
      <c r="G2" t="inlineStr">
        <is>
          <t>CESAR</t>
        </is>
      </c>
      <c r="H2" t="inlineStr">
        <is>
          <t>VALLEDUPAR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7156 C EXITO CENTRO VALLEDUPAR - 9326 - TBS - DIEBOLD</t>
        </is>
      </c>
      <c r="P2" t="inlineStr">
        <is>
          <t>SGIII-9326-2-1</t>
        </is>
      </c>
      <c r="Q2" t="inlineStr">
        <is>
          <t>MICROSUICHE TAPA TECLADO CAJERO</t>
        </is>
      </c>
      <c r="R2" t="inlineStr">
        <is>
          <t>SGIII</t>
        </is>
      </c>
      <c r="S2" t="n">
        <v>0</v>
      </c>
      <c r="T2" t="inlineStr">
        <is>
          <t>Laura Valentina Restrepo Jaramillo</t>
        </is>
      </c>
      <c r="U2" t="inlineStr">
        <is>
          <t>Falso positivo</t>
        </is>
      </c>
      <c r="V2" t="inlineStr"/>
      <c r="W2" t="inlineStr">
        <is>
          <t>TRANSBANK</t>
        </is>
      </c>
      <c r="X2">
        <f>EXACT(TRIM(UPPER(V2)), TRIM(UPPER(W2)))</f>
        <v/>
      </c>
      <c r="Y2" t="inlineStr"/>
      <c r="Z2" t="n">
        <v>5</v>
      </c>
      <c r="AA2" t="inlineStr">
        <is>
          <t>Oportuno</t>
        </is>
      </c>
      <c r="AB2" s="1" t="n">
        <v>46204.29431712963</v>
      </c>
      <c r="AC2" s="1" t="n">
        <v>46204.294375</v>
      </c>
      <c r="AD2" s="1" t="n">
        <v>46204.36144675926</v>
      </c>
      <c r="AE2" t="n">
        <v>5800</v>
      </c>
      <c r="AF2" t="inlineStr">
        <is>
          <t>[2026-07-01 07:03:59] Laura Valentina Restrepo Jaramillo: [SOP:1] Validando Video ✅ [SOP:2] Enviando Reacción ✅ [SOP:3] Documentando ✅ || [2026-07-01 07:04:40] Laura Valentina Restrepo Jaramillo: Se verifica por video cámara relacionada en tiempo real, TDV en el punto en aparente normalidad bk || [2026-07-01 07:04:46] Laura Valentina Restrepo Jaramillo: Activación generada por desarme inoportuno</t>
        </is>
      </c>
    </row>
    <row r="3">
      <c r="A3" t="inlineStr">
        <is>
          <t>BF2D210F-FC82-425B-8A8B-5CB6EC3192D7</t>
        </is>
      </c>
      <c r="B3" t="inlineStr">
        <is>
          <t>D0783D27-CA4F-4974-AE08-0F696349FBF4</t>
        </is>
      </c>
      <c r="C3" t="n">
        <v>1666</v>
      </c>
      <c r="D3" t="n">
        <v>666</v>
      </c>
      <c r="E3" t="inlineStr">
        <is>
          <t>Sucursal</t>
        </is>
      </c>
      <c r="F3" t="inlineStr">
        <is>
          <t>BOG Y SABANA</t>
        </is>
      </c>
      <c r="G3" t="inlineStr">
        <is>
          <t>CUNDINAMARCA</t>
        </is>
      </c>
      <c r="H3" t="inlineStr">
        <is>
          <t>BOGOTÁ, D.C.</t>
        </is>
      </c>
      <c r="I3" t="n">
        <v>1</v>
      </c>
      <c r="J3" t="n">
        <v>1</v>
      </c>
      <c r="K3" t="inlineStr">
        <is>
          <t>Alta</t>
        </is>
      </c>
      <c r="L3" t="inlineStr">
        <is>
          <t>WF 1055 - ZO09-Zonas 24H-Tamper y Antimascara AP:A</t>
        </is>
      </c>
      <c r="M3" t="inlineStr">
        <is>
          <t>activación tamper y antimascara</t>
        </is>
      </c>
      <c r="N3" t="inlineStr">
        <is>
          <t>activación tamper y antimascara</t>
        </is>
      </c>
      <c r="O3" t="inlineStr">
        <is>
          <t>0666 S PARK WAY - 1666</t>
        </is>
      </c>
      <c r="P3" t="inlineStr">
        <is>
          <t>Honeywell7810PC-1666-8-1</t>
        </is>
      </c>
      <c r="Q3" t="inlineStr">
        <is>
          <t xml:space="preserve">TAMPER CAJA MARNELL </t>
        </is>
      </c>
      <c r="R3" t="inlineStr">
        <is>
          <t>Honeywell</t>
        </is>
      </c>
      <c r="S3" t="n">
        <v>0</v>
      </c>
      <c r="T3" t="inlineStr">
        <is>
          <t>Adier Cuitiva Mayo</t>
        </is>
      </c>
      <c r="U3" t="inlineStr">
        <is>
          <t>Falso positivo</t>
        </is>
      </c>
      <c r="V3" t="inlineStr"/>
      <c r="W3" t="inlineStr">
        <is>
          <t>FUNCIONARIOS</t>
        </is>
      </c>
      <c r="X3">
        <f>EXACT(TRIM(UPPER(V3)), TRIM(UPPER(W3)))</f>
        <v/>
      </c>
      <c r="Y3" t="inlineStr"/>
      <c r="Z3" t="n">
        <v>6</v>
      </c>
      <c r="AA3" t="inlineStr">
        <is>
          <t>Oportuno</t>
        </is>
      </c>
      <c r="AB3" s="1" t="n">
        <v>46204.37851851852</v>
      </c>
      <c r="AC3" s="1" t="n">
        <v>46204.37858796296</v>
      </c>
      <c r="AD3" s="1" t="n">
        <v>46204.56600694444</v>
      </c>
      <c r="AE3" t="n">
        <v>16199</v>
      </c>
      <c r="AF3" t="inlineStr">
        <is>
          <t>[2026-07-01 09:05:17] Adier Cuitiva Mayo: [SOP:1] Validando Video ✅ [SOP:2] Enviando Reacción ✅ [SOP:3] Documentando ✅ || [2026-07-01 09:05:57] Adier Cuitiva Mayo: Se verifica por video cámara relacionada en tiempo real, en el punto en aparente normalidad || [2026-07-01 09:06:07] Adier Cuitiva Mayo: En desmunte obras</t>
        </is>
      </c>
    </row>
    <row r="4">
      <c r="A4" t="inlineStr">
        <is>
          <t>BF2D210F-FC82-425B-8A8B-5CB6EC3192D7</t>
        </is>
      </c>
      <c r="B4" t="inlineStr">
        <is>
          <t>79046292-2CFD-4C5C-9545-F9DCA73E42A8</t>
        </is>
      </c>
      <c r="C4" t="n">
        <v>1666</v>
      </c>
      <c r="D4" t="n">
        <v>666</v>
      </c>
      <c r="E4" t="inlineStr">
        <is>
          <t>Sucursal</t>
        </is>
      </c>
      <c r="F4" t="inlineStr">
        <is>
          <t>BOG Y SABANA</t>
        </is>
      </c>
      <c r="G4" t="inlineStr">
        <is>
          <t>CUNDINAMARCA</t>
        </is>
      </c>
      <c r="H4" t="inlineStr">
        <is>
          <t>BOGOTÁ, D.C.</t>
        </is>
      </c>
      <c r="I4" t="n">
        <v>0</v>
      </c>
      <c r="J4" t="n">
        <v>1</v>
      </c>
      <c r="K4" t="inlineStr">
        <is>
          <t>Alta</t>
        </is>
      </c>
      <c r="L4" t="inlineStr">
        <is>
          <t>WF 1055 - ZO09-Zonas 24H-Tamper y Antimascara AP:A</t>
        </is>
      </c>
      <c r="M4" t="inlineStr">
        <is>
          <t>activación tamper y antimascara</t>
        </is>
      </c>
      <c r="N4" t="inlineStr">
        <is>
          <t>activación tamper y antimascara</t>
        </is>
      </c>
      <c r="O4" t="inlineStr">
        <is>
          <t>0666 S PARK WAY - 1666</t>
        </is>
      </c>
      <c r="P4" t="inlineStr">
        <is>
          <t>Honeywell7810PC-1666-84-1</t>
        </is>
      </c>
      <c r="Q4" t="inlineStr">
        <is>
          <t xml:space="preserve">TAMPER CENTRAL PARK WAY </t>
        </is>
      </c>
      <c r="R4" t="inlineStr">
        <is>
          <t>Honeywell</t>
        </is>
      </c>
      <c r="S4" t="n">
        <v>0</v>
      </c>
      <c r="T4" t="inlineStr">
        <is>
          <t>Adier Cuitiva Mayo</t>
        </is>
      </c>
      <c r="U4" t="inlineStr">
        <is>
          <t>Falso positivo</t>
        </is>
      </c>
      <c r="V4" t="inlineStr"/>
      <c r="W4" t="inlineStr">
        <is>
          <t>FUNCIONARIOS</t>
        </is>
      </c>
      <c r="X4">
        <f>EXACT(TRIM(UPPER(V4)), TRIM(UPPER(W4)))</f>
        <v/>
      </c>
      <c r="Y4" t="inlineStr"/>
      <c r="Z4" t="n">
        <v>4</v>
      </c>
      <c r="AA4" t="inlineStr">
        <is>
          <t>Oportuno</t>
        </is>
      </c>
      <c r="AB4" s="1" t="n">
        <v>46204.37854166667</v>
      </c>
      <c r="AC4" s="1" t="n">
        <v>46204.37858796296</v>
      </c>
      <c r="AD4" s="1" t="n">
        <v>46204.56600694444</v>
      </c>
      <c r="AE4" t="n">
        <v>16197</v>
      </c>
      <c r="AF4" t="inlineStr"/>
    </row>
    <row r="5">
      <c r="A5" t="inlineStr">
        <is>
          <t>0CF7D86D-118E-4E73-813B-DA90EB515E49</t>
        </is>
      </c>
      <c r="B5" t="inlineStr">
        <is>
          <t>8D6AA44A-CE22-48B1-8CED-5CBB40FBEE16</t>
        </is>
      </c>
      <c r="C5" t="n">
        <v>6997</v>
      </c>
      <c r="D5" t="n">
        <v>8726</v>
      </c>
      <c r="E5" t="inlineStr">
        <is>
          <t>ATM</t>
        </is>
      </c>
      <c r="F5" t="inlineStr">
        <is>
          <t>SUR</t>
        </is>
      </c>
      <c r="G5" t="inlineStr">
        <is>
          <t>VALLE DEL CAUCA</t>
        </is>
      </c>
      <c r="H5" t="inlineStr">
        <is>
          <t>CALI</t>
        </is>
      </c>
      <c r="I5" t="n">
        <v>1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8726 8727 8728 8729 C MF HALL CALI PRINCIPAL - 6997 - AdminSUC - DIEBOLD</t>
        </is>
      </c>
      <c r="P5" t="inlineStr">
        <is>
          <t>Honeywell7810PC-6997-16-1</t>
        </is>
      </c>
      <c r="Q5" t="inlineStr">
        <is>
          <t xml:space="preserve">MAGNETICO PUERTA PASILLO CUARTO TECNICO CAJERO </t>
        </is>
      </c>
      <c r="R5" t="inlineStr">
        <is>
          <t>Honeywell</t>
        </is>
      </c>
      <c r="S5" t="n">
        <v>0</v>
      </c>
      <c r="T5" t="inlineStr">
        <is>
          <t>JUAN RODOLFO VASQUEZ ALZATE</t>
        </is>
      </c>
      <c r="U5" t="inlineStr">
        <is>
          <t>Falso positivo</t>
        </is>
      </c>
      <c r="V5" t="inlineStr"/>
      <c r="W5" t="inlineStr">
        <is>
          <t>FUNCIONARIOS</t>
        </is>
      </c>
      <c r="X5">
        <f>EXACT(TRIM(UPPER(V5)), TRIM(UPPER(W5)))</f>
        <v/>
      </c>
      <c r="Y5" t="inlineStr"/>
      <c r="Z5" t="n">
        <v>6</v>
      </c>
      <c r="AA5" t="inlineStr">
        <is>
          <t>Oportuno</t>
        </is>
      </c>
      <c r="AB5" s="1" t="n">
        <v>46205.00329861111</v>
      </c>
      <c r="AC5" s="1" t="n">
        <v>46205.00336805556</v>
      </c>
      <c r="AD5" s="1" t="n">
        <v>46205.06435185186</v>
      </c>
      <c r="AE5" t="n">
        <v>5275</v>
      </c>
      <c r="AF5" t="inlineStr">
        <is>
          <t>[2026-07-02 00:07:16] JUAN RODOLFO VASQUEZ ALZATE: [SOP:1] Validando Video ✅ [SOP:2] Enviando Reacción ✅ [SOP:3] Documentando ✅ || [2026-07-02 00:07:24] JUAN RODOLFO VASQUEZ ALZATE: FUNCIONARIOS DE OBRAS EN EL SITIO || [2026-07-02 01:32:29] JUAN RODOLFO VASQUEZ ALZATE: SE VALIDA POR VIDEO COMMAND SE OBSERVA TDV TRANSBANK EN EL SITIO    SE GENERAN MALOS MANEJOS POR NO DESARME DE PARTICION</t>
        </is>
      </c>
    </row>
    <row r="6">
      <c r="A6" t="inlineStr">
        <is>
          <t>0CF7D86D-118E-4E73-813B-DA90EB515E49</t>
        </is>
      </c>
      <c r="B6" t="inlineStr">
        <is>
          <t>0825C3AE-74CB-4CC0-867C-0E7C79C7FDE0</t>
        </is>
      </c>
      <c r="C6" t="n">
        <v>6997</v>
      </c>
      <c r="D6" t="n">
        <v>8726</v>
      </c>
      <c r="E6" t="inlineStr">
        <is>
          <t>ATM</t>
        </is>
      </c>
      <c r="F6" t="inlineStr">
        <is>
          <t>SUR</t>
        </is>
      </c>
      <c r="G6" t="inlineStr">
        <is>
          <t>VALLE DEL CAUCA</t>
        </is>
      </c>
      <c r="H6" t="inlineStr">
        <is>
          <t>CALI</t>
        </is>
      </c>
      <c r="I6" t="n">
        <v>0</v>
      </c>
      <c r="J6" t="n">
        <v>1</v>
      </c>
      <c r="K6" t="inlineStr">
        <is>
          <t>Alta</t>
        </is>
      </c>
      <c r="L6" t="inlineStr">
        <is>
          <t>WF 1047 - ZO01-Zonas 24H-ATM-AP:Disarm</t>
        </is>
      </c>
      <c r="M6" t="inlineStr">
        <is>
          <t>activación perimetral</t>
        </is>
      </c>
      <c r="N6" t="inlineStr">
        <is>
          <t>activación perimetral atm</t>
        </is>
      </c>
      <c r="O6" t="inlineStr">
        <is>
          <t>8726 8727 8728 8729 C MF HALL CALI PRINCIPAL - 6997 - AdminSUC - DIEBOLD</t>
        </is>
      </c>
      <c r="P6" t="inlineStr">
        <is>
          <t>Honeywell7810PC-6997-2-1</t>
        </is>
      </c>
      <c r="Q6" t="inlineStr">
        <is>
          <t>INFRARROJO ENTRADA HALL CAJERO</t>
        </is>
      </c>
      <c r="R6" t="inlineStr">
        <is>
          <t>Honeywell</t>
        </is>
      </c>
      <c r="S6" t="n">
        <v>0</v>
      </c>
      <c r="T6" t="inlineStr">
        <is>
          <t>JUAN RODOLFO VASQUEZ ALZATE</t>
        </is>
      </c>
      <c r="U6" t="inlineStr">
        <is>
          <t>Falso positivo</t>
        </is>
      </c>
      <c r="V6" t="inlineStr"/>
      <c r="W6" t="inlineStr">
        <is>
          <t>FUNCIONARIOS</t>
        </is>
      </c>
      <c r="X6">
        <f>EXACT(TRIM(UPPER(V6)), TRIM(UPPER(W6)))</f>
        <v/>
      </c>
      <c r="Y6" t="inlineStr"/>
      <c r="Z6" t="n">
        <v>5</v>
      </c>
      <c r="AA6" t="inlineStr">
        <is>
          <t>Oportuno</t>
        </is>
      </c>
      <c r="AB6" s="1" t="n">
        <v>46205.00351851852</v>
      </c>
      <c r="AC6" s="1" t="n">
        <v>46205.00357638889</v>
      </c>
      <c r="AD6" s="1" t="n">
        <v>46205.06435185186</v>
      </c>
      <c r="AE6" t="n">
        <v>5256</v>
      </c>
      <c r="AF6" t="inlineStr">
        <is>
          <t>[2026-07-02 00:05:34] JUAN RODOLFO VASQUEZ ALZATE: [SOP:1] Validando Video ✅ [SOP:2] Enviando Reacción ✅ [SOP:3] Documentando ✅ || [2026-07-02 00:05:38] JUAN RODOLFO VASQUEZ ALZATE: SE VALIDA POR VIDEO COMMAND SE OBSERVAN FUNCIONARIOS DE OBRAS EN EL SITIO || [2026-07-02 00:06:57] JUAN RODOLFO VASQUEZ ALZATE: FUNCIONARIOS DE OBRAS EN EL SITIO || [2026-07-02 01:32:29] JUAN RODOLFO VASQUEZ ALZATE: SE VALIDA POR VIDEO COMMAND SE OBSERVA TDV TRANSBANK EN EL SITIO    SE GENERAN MALOS MANEJOS POR NO DESARME DE PARTICION</t>
        </is>
      </c>
    </row>
    <row r="7">
      <c r="A7" t="inlineStr">
        <is>
          <t>0CF7D86D-118E-4E73-813B-DA90EB515E49</t>
        </is>
      </c>
      <c r="B7" t="inlineStr">
        <is>
          <t>9215F0DF-62AC-435C-8599-4FC8964BC185</t>
        </is>
      </c>
      <c r="C7" t="n">
        <v>6997</v>
      </c>
      <c r="D7" t="n">
        <v>8726</v>
      </c>
      <c r="E7" t="inlineStr">
        <is>
          <t>ATM</t>
        </is>
      </c>
      <c r="F7" t="inlineStr">
        <is>
          <t>SUR</t>
        </is>
      </c>
      <c r="G7" t="inlineStr">
        <is>
          <t>VALLE DEL CAUCA</t>
        </is>
      </c>
      <c r="H7" t="inlineStr">
        <is>
          <t>CALI</t>
        </is>
      </c>
      <c r="I7" t="n">
        <v>0</v>
      </c>
      <c r="J7" t="n">
        <v>1</v>
      </c>
      <c r="K7" t="inlineStr">
        <is>
          <t>Alta</t>
        </is>
      </c>
      <c r="L7" t="inlineStr">
        <is>
          <t>WF 1047 - ZO01-Zonas 24H-ATM-AP:Disarm</t>
        </is>
      </c>
      <c r="M7" t="inlineStr">
        <is>
          <t>activación perimetral</t>
        </is>
      </c>
      <c r="N7" t="inlineStr">
        <is>
          <t>activación perimetral atm</t>
        </is>
      </c>
      <c r="O7" t="inlineStr">
        <is>
          <t>8726 8727 8728 8729 C MF HALL CALI PRINCIPAL - 6997 - AdminSUC - DIEBOLD</t>
        </is>
      </c>
      <c r="P7" t="inlineStr">
        <is>
          <t>Honeywell7810PC-6997-12-1</t>
        </is>
      </c>
      <c r="Q7" t="inlineStr">
        <is>
          <t>INFRARROJO PASILLO ATRAS CAJERO</t>
        </is>
      </c>
      <c r="R7" t="inlineStr">
        <is>
          <t>Honeywell</t>
        </is>
      </c>
      <c r="S7" t="n">
        <v>0</v>
      </c>
      <c r="T7" t="inlineStr">
        <is>
          <t>JUAN RODOLFO VASQUEZ ALZATE</t>
        </is>
      </c>
      <c r="U7" t="inlineStr">
        <is>
          <t>Falso positivo</t>
        </is>
      </c>
      <c r="V7" t="inlineStr"/>
      <c r="W7" t="inlineStr">
        <is>
          <t>FUNCIONARIOS</t>
        </is>
      </c>
      <c r="X7">
        <f>EXACT(TRIM(UPPER(V7)), TRIM(UPPER(W7)))</f>
        <v/>
      </c>
      <c r="Y7" t="inlineStr"/>
      <c r="Z7" t="n">
        <v>6</v>
      </c>
      <c r="AA7" t="inlineStr">
        <is>
          <t>Oportuno</t>
        </is>
      </c>
      <c r="AB7" s="1" t="n">
        <v>46205.00357638889</v>
      </c>
      <c r="AC7" s="1" t="n">
        <v>46205.00364583333</v>
      </c>
      <c r="AD7" s="1" t="n">
        <v>46205.06435185186</v>
      </c>
      <c r="AE7" t="n">
        <v>5251</v>
      </c>
      <c r="AF7" t="inlineStr">
        <is>
          <t>[2026-07-02 00:06:57] JUAN RODOLFO VASQUEZ ALZATE: FUNCIONARIOS DE OBRAS EN EL SITIO || [2026-07-02 01:32:29] JUAN RODOLFO VASQUEZ ALZATE: SE VALIDA POR VIDEO COMMAND SE OBSERVA TDV TRANSBANK EN EL SITIO    SE GENERAN MALOS MANEJOS POR NO DESARME DE PARTICION</t>
        </is>
      </c>
    </row>
    <row r="8">
      <c r="A8" t="inlineStr">
        <is>
          <t>0CF7D86D-118E-4E73-813B-DA90EB515E49</t>
        </is>
      </c>
      <c r="B8" t="inlineStr">
        <is>
          <t>55CDBADD-FB23-4E6F-808F-30520080D01B</t>
        </is>
      </c>
      <c r="C8" t="n">
        <v>6997</v>
      </c>
      <c r="D8" t="n">
        <v>8726</v>
      </c>
      <c r="E8" t="inlineStr">
        <is>
          <t>ATM</t>
        </is>
      </c>
      <c r="F8" t="inlineStr">
        <is>
          <t>SUR</t>
        </is>
      </c>
      <c r="G8" t="inlineStr">
        <is>
          <t>VALLE DEL CAUCA</t>
        </is>
      </c>
      <c r="H8" t="inlineStr">
        <is>
          <t>CALI</t>
        </is>
      </c>
      <c r="I8" t="n">
        <v>0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8726 8727 8728 8729 C MF HALL CALI PRINCIPAL - 6997 - AdminSUC - DIEBOLD</t>
        </is>
      </c>
      <c r="P8" t="inlineStr">
        <is>
          <t>Honeywell7810PC-6997-4-1</t>
        </is>
      </c>
      <c r="Q8" t="inlineStr">
        <is>
          <t>INFRARROJO CUARTO AREA COMUN CAJERO</t>
        </is>
      </c>
      <c r="R8" t="inlineStr">
        <is>
          <t>Honeywell</t>
        </is>
      </c>
      <c r="S8" t="n">
        <v>0</v>
      </c>
      <c r="T8" t="inlineStr">
        <is>
          <t>JUAN RODOLFO VASQUEZ ALZATE</t>
        </is>
      </c>
      <c r="U8" t="inlineStr">
        <is>
          <t>Falso positivo</t>
        </is>
      </c>
      <c r="V8" t="inlineStr"/>
      <c r="W8" t="inlineStr">
        <is>
          <t>FUNCIONARIOS</t>
        </is>
      </c>
      <c r="X8">
        <f>EXACT(TRIM(UPPER(V8)), TRIM(UPPER(W8)))</f>
        <v/>
      </c>
      <c r="Y8" t="inlineStr"/>
      <c r="Z8" t="n">
        <v>5</v>
      </c>
      <c r="AA8" t="inlineStr">
        <is>
          <t>Oportuno</t>
        </is>
      </c>
      <c r="AB8" s="1" t="n">
        <v>46205.00358796296</v>
      </c>
      <c r="AC8" s="1" t="n">
        <v>46205.00364583333</v>
      </c>
      <c r="AD8" s="1" t="n">
        <v>46205.06435185186</v>
      </c>
      <c r="AE8" t="n">
        <v>5250</v>
      </c>
      <c r="AF8" t="inlineStr">
        <is>
          <t>[2026-07-02 00:06:57] JUAN RODOLFO VASQUEZ ALZATE: FUNCIONARIOS DE OBRAS EN EL SITIO || [2026-07-02 01:32:29] JUAN RODOLFO VASQUEZ ALZATE: SE VALIDA POR VIDEO COMMAND SE OBSERVA TDV TRANSBANK EN EL SITIO    SE GENERAN MALOS MANEJOS POR NO DESARME DE PARTICION</t>
        </is>
      </c>
    </row>
    <row r="9">
      <c r="A9" t="inlineStr">
        <is>
          <t>0CF7D86D-118E-4E73-813B-DA90EB515E49</t>
        </is>
      </c>
      <c r="B9" t="inlineStr">
        <is>
          <t>395B23B6-AD7D-4565-A9CE-5AFB32AF8C73</t>
        </is>
      </c>
      <c r="C9" t="n">
        <v>6997</v>
      </c>
      <c r="D9" t="n">
        <v>8726</v>
      </c>
      <c r="E9" t="inlineStr">
        <is>
          <t>ATM</t>
        </is>
      </c>
      <c r="F9" t="inlineStr">
        <is>
          <t>SUR</t>
        </is>
      </c>
      <c r="G9" t="inlineStr">
        <is>
          <t>VALLE DEL CAUCA</t>
        </is>
      </c>
      <c r="H9" t="inlineStr">
        <is>
          <t>CALI</t>
        </is>
      </c>
      <c r="I9" t="n">
        <v>0</v>
      </c>
      <c r="J9" t="n">
        <v>1</v>
      </c>
      <c r="K9" t="inlineStr">
        <is>
          <t>Alta</t>
        </is>
      </c>
      <c r="L9" t="inlineStr">
        <is>
          <t>WF 1047 - ZO01-Zonas 24H-ATM-AP:Disarm</t>
        </is>
      </c>
      <c r="M9" t="inlineStr">
        <is>
          <t>activación perimetral</t>
        </is>
      </c>
      <c r="N9" t="inlineStr">
        <is>
          <t>activación perimetral atm</t>
        </is>
      </c>
      <c r="O9" t="inlineStr">
        <is>
          <t>8726 8727 8728 8729 C MF HALL CALI PRINCIPAL - 6997 - AdminSUC - DIEBOLD</t>
        </is>
      </c>
      <c r="P9" t="inlineStr">
        <is>
          <t>Honeywell7810PC-6997-9-1</t>
        </is>
      </c>
      <c r="Q9" t="inlineStr">
        <is>
          <t xml:space="preserve">MAGNETICO PUERTA SALIDA EMERGENCIA 1 CAJERO </t>
        </is>
      </c>
      <c r="R9" t="inlineStr">
        <is>
          <t>Honeywell</t>
        </is>
      </c>
      <c r="S9" t="n">
        <v>0</v>
      </c>
      <c r="T9" t="inlineStr">
        <is>
          <t>JUAN RODOLFO VASQUEZ ALZATE</t>
        </is>
      </c>
      <c r="U9" t="inlineStr">
        <is>
          <t>Falso positivo</t>
        </is>
      </c>
      <c r="V9" t="inlineStr"/>
      <c r="W9" t="inlineStr">
        <is>
          <t>FUNCIONARIOS</t>
        </is>
      </c>
      <c r="X9">
        <f>EXACT(TRIM(UPPER(V9)), TRIM(UPPER(W9)))</f>
        <v/>
      </c>
      <c r="Y9" t="inlineStr"/>
      <c r="Z9" t="n">
        <v>5</v>
      </c>
      <c r="AA9" t="inlineStr">
        <is>
          <t>Oportuno</t>
        </is>
      </c>
      <c r="AB9" s="1" t="n">
        <v>46205.00359953703</v>
      </c>
      <c r="AC9" s="1" t="n">
        <v>46205.0036574074</v>
      </c>
      <c r="AD9" s="1" t="n">
        <v>46205.06435185186</v>
      </c>
      <c r="AE9" t="n">
        <v>5249</v>
      </c>
      <c r="AF9" t="inlineStr">
        <is>
          <t>[2026-07-02 00:06:57] JUAN RODOLFO VASQUEZ ALZATE: FUNCIONARIOS DE OBRAS EN EL SITIO || [2026-07-02 01:32:29] JUAN RODOLFO VASQUEZ ALZATE: SE VALIDA POR VIDEO COMMAND SE OBSERVA TDV TRANSBANK EN EL SITIO    SE GENERAN MALOS MANEJOS POR NO DESARME DE PARTICION</t>
        </is>
      </c>
    </row>
    <row r="10">
      <c r="A10" t="inlineStr">
        <is>
          <t>0CF7D86D-118E-4E73-813B-DA90EB515E49</t>
        </is>
      </c>
      <c r="B10" t="inlineStr">
        <is>
          <t>C778A9A5-5563-4BD4-A8D6-9841322F6AA3</t>
        </is>
      </c>
      <c r="C10" t="n">
        <v>6997</v>
      </c>
      <c r="D10" t="n">
        <v>8726</v>
      </c>
      <c r="E10" t="inlineStr">
        <is>
          <t>ATM</t>
        </is>
      </c>
      <c r="F10" t="inlineStr">
        <is>
          <t>SUR</t>
        </is>
      </c>
      <c r="G10" t="inlineStr">
        <is>
          <t>VALLE DEL CAUCA</t>
        </is>
      </c>
      <c r="H10" t="inlineStr">
        <is>
          <t>CALI</t>
        </is>
      </c>
      <c r="I10" t="n">
        <v>0</v>
      </c>
      <c r="J10" t="n">
        <v>1</v>
      </c>
      <c r="K10" t="inlineStr">
        <is>
          <t>Alta</t>
        </is>
      </c>
      <c r="L10" t="inlineStr">
        <is>
          <t>WF 1047 - ZO01-Zonas 24H-ATM-AP:Disarm</t>
        </is>
      </c>
      <c r="M10" t="inlineStr">
        <is>
          <t>activación perimetral</t>
        </is>
      </c>
      <c r="N10" t="inlineStr">
        <is>
          <t>activación perimetral atm</t>
        </is>
      </c>
      <c r="O10" t="inlineStr">
        <is>
          <t>8726 8727 8728 8729 C MF HALL CALI PRINCIPAL - 6997 - AdminSUC - DIEBOLD</t>
        </is>
      </c>
      <c r="P10" t="inlineStr">
        <is>
          <t>Honeywell7810PC-6997-6-1</t>
        </is>
      </c>
      <c r="Q10" t="inlineStr">
        <is>
          <t>INFRARROJO PASILLO SALIDA DE EMERGECIA 1 CAJERO</t>
        </is>
      </c>
      <c r="R10" t="inlineStr">
        <is>
          <t>Honeywell</t>
        </is>
      </c>
      <c r="S10" t="n">
        <v>0</v>
      </c>
      <c r="T10" t="inlineStr">
        <is>
          <t>JUAN RODOLFO VASQUEZ ALZATE</t>
        </is>
      </c>
      <c r="U10" t="inlineStr">
        <is>
          <t>Falso positivo</t>
        </is>
      </c>
      <c r="V10" t="inlineStr"/>
      <c r="W10" t="inlineStr">
        <is>
          <t>FUNCIONARIOS</t>
        </is>
      </c>
      <c r="X10">
        <f>EXACT(TRIM(UPPER(V10)), TRIM(UPPER(W10)))</f>
        <v/>
      </c>
      <c r="Y10" t="inlineStr"/>
      <c r="Z10" t="n">
        <v>7</v>
      </c>
      <c r="AA10" t="inlineStr">
        <is>
          <t>Oportuno</t>
        </is>
      </c>
      <c r="AB10" s="1" t="n">
        <v>46205.0037037037</v>
      </c>
      <c r="AC10" s="1" t="n">
        <v>46205.00378472222</v>
      </c>
      <c r="AD10" s="1" t="n">
        <v>46205.06435185186</v>
      </c>
      <c r="AE10" t="n">
        <v>5240</v>
      </c>
      <c r="AF10" t="inlineStr">
        <is>
          <t>[2026-07-02 00:06:57] JUAN RODOLFO VASQUEZ ALZATE: FUNCIONARIOS DE OBRAS EN EL SITIO || [2026-07-02 01:32:29] JUAN RODOLFO VASQUEZ ALZATE: SE VALIDA POR VIDEO COMMAND SE OBSERVA TDV TRANSBANK EN EL SITIO    SE GENERAN MALOS MANEJOS POR NO DESARME DE PARTICION</t>
        </is>
      </c>
    </row>
    <row r="11">
      <c r="A11" t="inlineStr">
        <is>
          <t>47CB88CB-13C7-4ADC-A6B5-C6AA3ADBA1D4</t>
        </is>
      </c>
      <c r="B11" t="inlineStr">
        <is>
          <t>9D9CFC5D-06C5-476E-AC1D-BFC570DFF73B</t>
        </is>
      </c>
      <c r="C11" t="n">
        <v>8240</v>
      </c>
      <c r="D11" t="n">
        <v>4316</v>
      </c>
      <c r="E11" t="inlineStr">
        <is>
          <t>ATM</t>
        </is>
      </c>
      <c r="F11" t="inlineStr">
        <is>
          <t>BOG Y SABANA</t>
        </is>
      </c>
      <c r="G11" t="inlineStr">
        <is>
          <t>CUNDINAMARCA</t>
        </is>
      </c>
      <c r="H11" t="inlineStr">
        <is>
          <t>BOGOTÁ, D.C.</t>
        </is>
      </c>
      <c r="I11" t="n">
        <v>1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4316 C LA GRAN FERIA CAMPESINA - 8240 - TBS - DIEBOLD</t>
        </is>
      </c>
      <c r="P11" t="inlineStr">
        <is>
          <t>SGIII-8240-4-2</t>
        </is>
      </c>
      <c r="Q11" t="inlineStr">
        <is>
          <t>MICROSUICHE FASCIA SUPERIOR CAJERO</t>
        </is>
      </c>
      <c r="R11" t="inlineStr">
        <is>
          <t>SGIII</t>
        </is>
      </c>
      <c r="S11" t="n">
        <v>0</v>
      </c>
      <c r="T11" t="inlineStr">
        <is>
          <t>Jhon Fredy Ocampo Yepez</t>
        </is>
      </c>
      <c r="U11" t="inlineStr">
        <is>
          <t>Falso Positivo</t>
        </is>
      </c>
      <c r="V11" t="inlineStr"/>
      <c r="W11" t="inlineStr"/>
      <c r="X11">
        <f>EXACT(TRIM(UPPER(V11)), TRIM(UPPER(W11)))</f>
        <v/>
      </c>
      <c r="Y11" t="inlineStr"/>
      <c r="Z11" t="n">
        <v>8</v>
      </c>
      <c r="AA11" t="inlineStr">
        <is>
          <t>Oportuno</t>
        </is>
      </c>
      <c r="AB11" s="1" t="n">
        <v>46205.48380787037</v>
      </c>
      <c r="AC11" s="1" t="n">
        <v>46205.48390046296</v>
      </c>
      <c r="AD11" s="1" t="n">
        <v>46205.55003472222</v>
      </c>
      <c r="AE11" t="n">
        <v>5722</v>
      </c>
      <c r="AF11" t="inlineStr">
        <is>
          <t>[2026-07-02 11:36:57] Jhon Fredy Ocampo Yepez: [SOP:1] Validando Video ✅ [SOP:2] Enviando Reacción ✅ [SOP:3] Documentando ✅ || [2026-07-02 13:11:01] Jhon Fredy Ocampo Yepez: Se verifica por video COMMAND , Todas las cámaras en tiempo real, se observa el SITIO en aparente normalidad y sin afectación alguna Se observa personal TECNICO DE DIEBOLD en el sitio || [2026-07-02 13:11:12] Jhon Fredy Ocampo Yepez: Mal manejo por desarme inoportuno</t>
        </is>
      </c>
    </row>
    <row r="12">
      <c r="A12" t="inlineStr">
        <is>
          <t>A8EC36AD-F179-46AC-8B2F-25BC1679025B</t>
        </is>
      </c>
      <c r="B12" t="inlineStr">
        <is>
          <t>6B863118-F72D-4C86-A2D9-B5FA147CFC28</t>
        </is>
      </c>
      <c r="C12" t="n">
        <v>9018</v>
      </c>
      <c r="D12" t="n">
        <v>2144</v>
      </c>
      <c r="E12" t="inlineStr">
        <is>
          <t>ATM</t>
        </is>
      </c>
      <c r="F12" t="inlineStr">
        <is>
          <t>SUR</t>
        </is>
      </c>
      <c r="G12" t="inlineStr">
        <is>
          <t>NARIÑO</t>
        </is>
      </c>
      <c r="H12" t="inlineStr">
        <is>
          <t>PASTO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1047 - ZO01-Zonas 24H-ATM-AP:Disarm</t>
        </is>
      </c>
      <c r="M12" t="inlineStr">
        <is>
          <t>activación perimetral</t>
        </is>
      </c>
      <c r="N12" t="inlineStr">
        <is>
          <t>activación perimetral atm</t>
        </is>
      </c>
      <c r="O12" t="inlineStr">
        <is>
          <t>2144 4878 6895 C AVENIDA LOS ESTUDIANTES - 9018 - BK - DIEBOLD - NCR</t>
        </is>
      </c>
      <c r="P12" t="inlineStr">
        <is>
          <t>SGIII-9018-15-3</t>
        </is>
      </c>
      <c r="Q12" t="inlineStr">
        <is>
          <t>MICROSUICH TAPA TECLADO CAJERO</t>
        </is>
      </c>
      <c r="R12" t="inlineStr">
        <is>
          <t>SGIII</t>
        </is>
      </c>
      <c r="S12" t="n">
        <v>0</v>
      </c>
      <c r="T12" t="inlineStr">
        <is>
          <t>Laura Valentina Restrepo Jaramillo</t>
        </is>
      </c>
      <c r="U12" t="inlineStr">
        <is>
          <t>Falso Positivo</t>
        </is>
      </c>
      <c r="V12" t="inlineStr"/>
      <c r="W12" t="inlineStr">
        <is>
          <t>BRINKS</t>
        </is>
      </c>
      <c r="X12">
        <f>EXACT(TRIM(UPPER(V12)), TRIM(UPPER(W12)))</f>
        <v/>
      </c>
      <c r="Y12" t="inlineStr"/>
      <c r="Z12" t="n">
        <v>6</v>
      </c>
      <c r="AA12" t="inlineStr">
        <is>
          <t>Oportuno</t>
        </is>
      </c>
      <c r="AB12" s="1" t="n">
        <v>46205.58280092593</v>
      </c>
      <c r="AC12" s="1" t="n">
        <v>46205.58287037037</v>
      </c>
      <c r="AD12" s="1" t="n">
        <v>46205.73596064815</v>
      </c>
      <c r="AE12" t="n">
        <v>13233</v>
      </c>
      <c r="AF12" t="inlineStr">
        <is>
          <t>[2026-07-02 13:59:26] Laura Valentina Restrepo Jaramillo: [SOP:1] Validando Video ✅ [SOP:2] Enviando Reacción ✅ [SOP:3] Documentando ✅ || [2026-07-02 13:59:37] Laura Valentina Restrepo Jaramillo: ¡Enviando reacción correspondiente!  GAM -POLICIA  No carga video || [2026-07-02 14:19:51] Laura Valentina Restrepo Jaramillo: Se verifica por video cámara relacionada en tiempo real, TDV en el punto en aparente normalidad vatco || [2026-07-02 14:19:56] Laura Valentina Restrepo Jaramillo: Activación generada por desarme inoportuno</t>
        </is>
      </c>
    </row>
    <row r="13">
      <c r="A13" t="inlineStr">
        <is>
          <t>9DD6EA01-B5FD-494A-A04F-9A477C0544A0</t>
        </is>
      </c>
      <c r="B13" t="inlineStr">
        <is>
          <t>48D3E849-B16A-4966-A04F-8DDD7A2FF193</t>
        </is>
      </c>
      <c r="C13" t="n">
        <v>8921</v>
      </c>
      <c r="D13" t="n">
        <v>7469</v>
      </c>
      <c r="E13" t="inlineStr">
        <is>
          <t>ATM</t>
        </is>
      </c>
      <c r="F13" t="inlineStr">
        <is>
          <t>CENTRO</t>
        </is>
      </c>
      <c r="G13" t="inlineStr">
        <is>
          <t>META</t>
        </is>
      </c>
      <c r="H13" t="inlineStr">
        <is>
          <t>VILLAVICENCIO</t>
        </is>
      </c>
      <c r="I13" t="n">
        <v>1</v>
      </c>
      <c r="J13" t="n">
        <v>1</v>
      </c>
      <c r="K13" t="inlineStr">
        <is>
          <t>Alta</t>
        </is>
      </c>
      <c r="L13" t="inlineStr">
        <is>
          <t>WF 1055 - ZO09-Zonas 24H-Tamper y Antimascara AP:A</t>
        </is>
      </c>
      <c r="M13" t="inlineStr">
        <is>
          <t>activación tamper y antimascara</t>
        </is>
      </c>
      <c r="N13" t="inlineStr">
        <is>
          <t>activación tamper y antimascara</t>
        </is>
      </c>
      <c r="O13" t="inlineStr">
        <is>
          <t>7469 4806 4807 C TOCORAGUA - 8921 - TBS - NCR</t>
        </is>
      </c>
      <c r="P13" t="inlineStr">
        <is>
          <t>SGIII-8921-8-1</t>
        </is>
      </c>
      <c r="Q13" t="inlineStr">
        <is>
          <t xml:space="preserve">TAMPER CENTRAL ALARMA CAJERO </t>
        </is>
      </c>
      <c r="R13" t="inlineStr">
        <is>
          <t>SGIII</t>
        </is>
      </c>
      <c r="S13" t="n">
        <v>0</v>
      </c>
      <c r="T13" t="inlineStr">
        <is>
          <t>Neidy Martínez</t>
        </is>
      </c>
      <c r="U13" t="inlineStr">
        <is>
          <t>Falso Positivo</t>
        </is>
      </c>
      <c r="V13" t="inlineStr"/>
      <c r="W13" t="inlineStr">
        <is>
          <t>TRANSBANK</t>
        </is>
      </c>
      <c r="X13">
        <f>EXACT(TRIM(UPPER(V13)), TRIM(UPPER(W13)))</f>
        <v/>
      </c>
      <c r="Y13" t="inlineStr"/>
      <c r="Z13" t="n">
        <v>5</v>
      </c>
      <c r="AA13" t="inlineStr">
        <is>
          <t>Oportuno</t>
        </is>
      </c>
      <c r="AB13" s="1" t="n">
        <v>46205.598125</v>
      </c>
      <c r="AC13" s="1" t="n">
        <v>46205.59818287037</v>
      </c>
      <c r="AD13" s="1" t="n">
        <v>46205.77240740741</v>
      </c>
      <c r="AE13" t="n">
        <v>15058</v>
      </c>
      <c r="AF13" t="inlineStr">
        <is>
          <t>[2026-07-02 14:21:30] Neidy Martínez: [SOP:1] Validando Video ✅ [SOP:2] Enviando Reacción ✅ [SOP:3] Documentando ✅ || [2026-07-02 14:22:37] Neidy Martínez: Se valida por video command se observa USUARIO realizando transacción en el momento de la activación || [2026-07-02 14:23:05] Neidy Martínez: desarme de técnicos DIEBOLD en el sitio   Mal manejo, personal no realizan bypass de la zona de forma oportuna</t>
        </is>
      </c>
    </row>
    <row r="14">
      <c r="A14" t="inlineStr">
        <is>
          <t>66A1721F-9685-4A67-A14C-83CC3713A7D9</t>
        </is>
      </c>
      <c r="B14" t="inlineStr">
        <is>
          <t>D6D8DED2-9361-4132-B641-690F14368B77</t>
        </is>
      </c>
      <c r="C14" t="n">
        <v>8921</v>
      </c>
      <c r="D14" t="n">
        <v>7469</v>
      </c>
      <c r="E14" t="inlineStr">
        <is>
          <t>ATM</t>
        </is>
      </c>
      <c r="F14" t="inlineStr">
        <is>
          <t>CENTRO</t>
        </is>
      </c>
      <c r="G14" t="inlineStr">
        <is>
          <t>META</t>
        </is>
      </c>
      <c r="H14" t="inlineStr">
        <is>
          <t>VILLAVICENCIO</t>
        </is>
      </c>
      <c r="I14" t="n">
        <v>1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7469 4806 4807 C TOCORAGUA - 8921 - TBS - NCR</t>
        </is>
      </c>
      <c r="P14" t="inlineStr">
        <is>
          <t>SGIII-8921-2-1</t>
        </is>
      </c>
      <c r="Q14" t="inlineStr">
        <is>
          <t xml:space="preserve">MAGNETICO CUARTO CAJEROS </t>
        </is>
      </c>
      <c r="R14" t="inlineStr">
        <is>
          <t>SGIII</t>
        </is>
      </c>
      <c r="S14" t="n">
        <v>0</v>
      </c>
      <c r="T14" t="inlineStr">
        <is>
          <t>Adier Cuitiva Mayo</t>
        </is>
      </c>
      <c r="U14" t="inlineStr">
        <is>
          <t>Falso Positivo</t>
        </is>
      </c>
      <c r="V14" t="inlineStr"/>
      <c r="W14" t="inlineStr">
        <is>
          <t>TRANSBANK</t>
        </is>
      </c>
      <c r="X14">
        <f>EXACT(TRIM(UPPER(V14)), TRIM(UPPER(W14)))</f>
        <v/>
      </c>
      <c r="Y14" t="inlineStr"/>
      <c r="Z14" t="n">
        <v>6</v>
      </c>
      <c r="AA14" t="inlineStr">
        <is>
          <t>Oportuno</t>
        </is>
      </c>
      <c r="AB14" s="1" t="n">
        <v>46205.60173611111</v>
      </c>
      <c r="AC14" s="1" t="n">
        <v>46205.60180555555</v>
      </c>
      <c r="AD14" s="1" t="n">
        <v>46205.62008101852</v>
      </c>
      <c r="AE14" t="n">
        <v>1585</v>
      </c>
      <c r="AF14" t="inlineStr">
        <is>
          <t>[2026-07-02 14:26:40] Adier Cuitiva Mayo: [SOP:1] Validando Video ✅ [SOP:2] Enviando Reacción ✅ [SOP:3] Documentando ✅ || [2026-07-02 14:36:04] Adier Cuitiva Mayo: Se verifica por video cámara relacionada en tiempo real, TECNICO en aparente normalidad</t>
        </is>
      </c>
    </row>
    <row r="15">
      <c r="A15" t="inlineStr">
        <is>
          <t>66A1721F-9685-4A67-A14C-83CC3713A7D9</t>
        </is>
      </c>
      <c r="B15" t="inlineStr">
        <is>
          <t>DF3BDEFB-CDE3-492F-B007-6FCDFABE1CFB</t>
        </is>
      </c>
      <c r="C15" t="n">
        <v>8921</v>
      </c>
      <c r="D15" t="n">
        <v>7469</v>
      </c>
      <c r="E15" t="inlineStr">
        <is>
          <t>ATM</t>
        </is>
      </c>
      <c r="F15" t="inlineStr">
        <is>
          <t>CENTRO</t>
        </is>
      </c>
      <c r="G15" t="inlineStr">
        <is>
          <t>META</t>
        </is>
      </c>
      <c r="H15" t="inlineStr">
        <is>
          <t>VILLAVICENCIO</t>
        </is>
      </c>
      <c r="I15" t="n">
        <v>0</v>
      </c>
      <c r="J15" t="n">
        <v>1</v>
      </c>
      <c r="K15" t="inlineStr">
        <is>
          <t>Alta</t>
        </is>
      </c>
      <c r="L15" t="inlineStr">
        <is>
          <t>WF 1055 - ZO09-Zonas 24H-Tamper y Antimascara AP:A</t>
        </is>
      </c>
      <c r="M15" t="inlineStr">
        <is>
          <t>activación tamper y antimascara</t>
        </is>
      </c>
      <c r="N15" t="inlineStr">
        <is>
          <t>activación tamper y antimascara</t>
        </is>
      </c>
      <c r="O15" t="inlineStr">
        <is>
          <t>7469 4806 4807 C TOCORAGUA - 8921 - TBS - NCR</t>
        </is>
      </c>
      <c r="P15" t="inlineStr">
        <is>
          <t>SGIII-8921-6-1</t>
        </is>
      </c>
      <c r="Q15" t="inlineStr">
        <is>
          <t xml:space="preserve">TAMPER SISMICO CUARTO CAJEROS </t>
        </is>
      </c>
      <c r="R15" t="inlineStr">
        <is>
          <t>SGIII</t>
        </is>
      </c>
      <c r="S15" t="n">
        <v>0</v>
      </c>
      <c r="T15" t="inlineStr">
        <is>
          <t>Adier Cuitiva Mayo</t>
        </is>
      </c>
      <c r="U15" t="inlineStr">
        <is>
          <t>Falso Positivo</t>
        </is>
      </c>
      <c r="V15" t="inlineStr"/>
      <c r="W15" t="inlineStr">
        <is>
          <t>TRANSBANK</t>
        </is>
      </c>
      <c r="X15">
        <f>EXACT(TRIM(UPPER(V15)), TRIM(UPPER(W15)))</f>
        <v/>
      </c>
      <c r="Y15" t="inlineStr"/>
      <c r="Z15" t="n">
        <v>3</v>
      </c>
      <c r="AA15" t="inlineStr">
        <is>
          <t>Oportuno</t>
        </is>
      </c>
      <c r="AB15" s="1" t="n">
        <v>46205.60268518519</v>
      </c>
      <c r="AC15" s="1" t="n">
        <v>46205.60271990741</v>
      </c>
      <c r="AD15" s="1" t="n">
        <v>46205.62008101852</v>
      </c>
      <c r="AE15" t="n">
        <v>1503</v>
      </c>
      <c r="AF15" t="inlineStr"/>
    </row>
    <row r="16">
      <c r="A16" t="inlineStr">
        <is>
          <t>66A1721F-9685-4A67-A14C-83CC3713A7D9</t>
        </is>
      </c>
      <c r="B16" t="inlineStr">
        <is>
          <t>E89171C5-A464-4CE6-A483-0B947C6A1147</t>
        </is>
      </c>
      <c r="C16" t="n">
        <v>8921</v>
      </c>
      <c r="D16" t="n">
        <v>7469</v>
      </c>
      <c r="E16" t="inlineStr">
        <is>
          <t>ATM</t>
        </is>
      </c>
      <c r="F16" t="inlineStr">
        <is>
          <t>CENTRO</t>
        </is>
      </c>
      <c r="G16" t="inlineStr">
        <is>
          <t>META</t>
        </is>
      </c>
      <c r="H16" t="inlineStr">
        <is>
          <t>VILLAVICENCIO</t>
        </is>
      </c>
      <c r="I16" t="n">
        <v>0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7469 4806 4807 C TOCORAGUA - 8921 - TBS - NCR</t>
        </is>
      </c>
      <c r="P16" t="inlineStr">
        <is>
          <t>SGIII-8921-3-1</t>
        </is>
      </c>
      <c r="Q16" t="inlineStr">
        <is>
          <t>INFRARROJO CUARTO CAJERO</t>
        </is>
      </c>
      <c r="R16" t="inlineStr">
        <is>
          <t>SGIII</t>
        </is>
      </c>
      <c r="S16" t="n">
        <v>0</v>
      </c>
      <c r="T16" t="inlineStr">
        <is>
          <t>Adier Cuitiva Mayo</t>
        </is>
      </c>
      <c r="U16" t="inlineStr">
        <is>
          <t>Falso Positivo</t>
        </is>
      </c>
      <c r="V16" t="inlineStr"/>
      <c r="W16" t="inlineStr">
        <is>
          <t>TRANSBANK</t>
        </is>
      </c>
      <c r="X16">
        <f>EXACT(TRIM(UPPER(V16)), TRIM(UPPER(W16)))</f>
        <v/>
      </c>
      <c r="Y16" t="inlineStr"/>
      <c r="Z16" t="n">
        <v>2</v>
      </c>
      <c r="AA16" t="inlineStr">
        <is>
          <t>Oportuno</t>
        </is>
      </c>
      <c r="AB16" s="1" t="n">
        <v>46205.60274305556</v>
      </c>
      <c r="AC16" s="1" t="n">
        <v>46205.6027662037</v>
      </c>
      <c r="AD16" s="1" t="n">
        <v>46205.62008101852</v>
      </c>
      <c r="AE16" t="n">
        <v>1498</v>
      </c>
      <c r="AF16" t="inlineStr"/>
    </row>
    <row r="17">
      <c r="A17" t="inlineStr">
        <is>
          <t>66A1721F-9685-4A67-A14C-83CC3713A7D9</t>
        </is>
      </c>
      <c r="B17" t="inlineStr">
        <is>
          <t>24E80F05-553C-491E-86E1-8F64E88DCA0E</t>
        </is>
      </c>
      <c r="C17" t="n">
        <v>8921</v>
      </c>
      <c r="D17" t="n">
        <v>7469</v>
      </c>
      <c r="E17" t="inlineStr">
        <is>
          <t>ATM</t>
        </is>
      </c>
      <c r="F17" t="inlineStr">
        <is>
          <t>CENTRO</t>
        </is>
      </c>
      <c r="G17" t="inlineStr">
        <is>
          <t>META</t>
        </is>
      </c>
      <c r="H17" t="inlineStr">
        <is>
          <t>VILLAVICENCIO</t>
        </is>
      </c>
      <c r="I17" t="n">
        <v>0</v>
      </c>
      <c r="J17" t="n">
        <v>1</v>
      </c>
      <c r="K17" t="inlineStr">
        <is>
          <t>Alta</t>
        </is>
      </c>
      <c r="L17" t="inlineStr">
        <is>
          <t>WF 1055 - ZO09-Zonas 24H-Tamper y Antimascara AP:A</t>
        </is>
      </c>
      <c r="M17" t="inlineStr">
        <is>
          <t>activación tamper y antimascara</t>
        </is>
      </c>
      <c r="N17" t="inlineStr">
        <is>
          <t>activación tamper y antimascara</t>
        </is>
      </c>
      <c r="O17" t="inlineStr">
        <is>
          <t>7469 4806 4807 C TOCORAGUA - 8921 - TBS - NCR</t>
        </is>
      </c>
      <c r="P17" t="inlineStr">
        <is>
          <t>SGIII-8921-4-1</t>
        </is>
      </c>
      <c r="Q17" t="inlineStr">
        <is>
          <t xml:space="preserve">TAMPER Y ANTIMASCARA CUARTO CAJEROS </t>
        </is>
      </c>
      <c r="R17" t="inlineStr">
        <is>
          <t>SGIII</t>
        </is>
      </c>
      <c r="S17" t="n">
        <v>0</v>
      </c>
      <c r="T17" t="inlineStr">
        <is>
          <t>Adier Cuitiva Mayo</t>
        </is>
      </c>
      <c r="U17" t="inlineStr">
        <is>
          <t>Falso Positivo</t>
        </is>
      </c>
      <c r="V17" t="inlineStr"/>
      <c r="W17" t="inlineStr">
        <is>
          <t>TRANSBANK</t>
        </is>
      </c>
      <c r="X17">
        <f>EXACT(TRIM(UPPER(V17)), TRIM(UPPER(W17)))</f>
        <v/>
      </c>
      <c r="Y17" t="inlineStr"/>
      <c r="Z17" t="n">
        <v>4</v>
      </c>
      <c r="AA17" t="inlineStr">
        <is>
          <t>Oportuno</t>
        </is>
      </c>
      <c r="AB17" s="1" t="n">
        <v>46205.60290509259</v>
      </c>
      <c r="AC17" s="1" t="n">
        <v>46205.60295138889</v>
      </c>
      <c r="AD17" s="1" t="n">
        <v>46205.62008101852</v>
      </c>
      <c r="AE17" t="n">
        <v>1484</v>
      </c>
      <c r="AF17" t="inlineStr"/>
    </row>
    <row r="18">
      <c r="A18" t="inlineStr">
        <is>
          <t>1A312E74-19F2-4F11-86E2-6BDE2083FC21</t>
        </is>
      </c>
      <c r="B18" t="inlineStr">
        <is>
          <t>2E9367C4-B5FD-4341-A3B0-8F31B5F96452</t>
        </is>
      </c>
      <c r="C18" t="n">
        <v>8921</v>
      </c>
      <c r="D18" t="n">
        <v>7469</v>
      </c>
      <c r="E18" t="inlineStr">
        <is>
          <t>ATM</t>
        </is>
      </c>
      <c r="F18" t="inlineStr">
        <is>
          <t>CENTRO</t>
        </is>
      </c>
      <c r="G18" t="inlineStr">
        <is>
          <t>META</t>
        </is>
      </c>
      <c r="H18" t="inlineStr">
        <is>
          <t>VILLAVICENCIO</t>
        </is>
      </c>
      <c r="I18" t="n">
        <v>1</v>
      </c>
      <c r="J18" t="n">
        <v>1</v>
      </c>
      <c r="K18" t="inlineStr">
        <is>
          <t>Alta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7469 4806 4807 C TOCORAGUA - 8921 - TBS - NCR</t>
        </is>
      </c>
      <c r="P18" t="inlineStr">
        <is>
          <t>SGIII-8921-2-1</t>
        </is>
      </c>
      <c r="Q18" t="inlineStr">
        <is>
          <t xml:space="preserve">MAGNETICO CUARTO CAJEROS </t>
        </is>
      </c>
      <c r="R18" t="inlineStr">
        <is>
          <t>SGIII</t>
        </is>
      </c>
      <c r="S18" t="n">
        <v>0</v>
      </c>
      <c r="T18" t="inlineStr">
        <is>
          <t>Laura Valentina Restrepo Jaramillo</t>
        </is>
      </c>
      <c r="U18" t="inlineStr">
        <is>
          <t>Falso Positivo</t>
        </is>
      </c>
      <c r="V18" t="inlineStr"/>
      <c r="W18" t="inlineStr">
        <is>
          <t>TRANSBANK</t>
        </is>
      </c>
      <c r="X18">
        <f>EXACT(TRIM(UPPER(V18)), TRIM(UPPER(W18)))</f>
        <v/>
      </c>
      <c r="Y18" t="inlineStr"/>
      <c r="Z18" t="n">
        <v>8</v>
      </c>
      <c r="AA18" t="inlineStr">
        <is>
          <t>Oportuno</t>
        </is>
      </c>
      <c r="AB18" s="1" t="n">
        <v>46205.65268518519</v>
      </c>
      <c r="AC18" s="1" t="n">
        <v>46205.65277777778</v>
      </c>
      <c r="AD18" s="1" t="n">
        <v>46205.75859953704</v>
      </c>
      <c r="AE18" t="n">
        <v>9151</v>
      </c>
      <c r="AF18" t="inlineStr">
        <is>
          <t>[2026-07-02 15:40:40] Laura Valentina Restrepo Jaramillo: [SOP:1] Validando Video ✅ [SOP:2] Enviando Reacción ✅ [SOP:3] Documentando ✅ || [2026-07-02 15:40:49] Laura Valentina Restrepo Jaramillo: Se verifica por video cámara relacionada en tiempo real, TECNICO en aparente normalidad diebold</t>
        </is>
      </c>
    </row>
    <row r="19">
      <c r="A19" t="inlineStr">
        <is>
          <t>E44254EE-15CD-41C9-9DB3-E9340C29C9ED</t>
        </is>
      </c>
      <c r="B19" t="inlineStr">
        <is>
          <t>A4E4DB68-41FC-4BB1-B722-411E9874FB6E</t>
        </is>
      </c>
      <c r="C19" t="n">
        <v>9060</v>
      </c>
      <c r="D19" t="n">
        <v>2988</v>
      </c>
      <c r="E19" t="inlineStr">
        <is>
          <t>ATM</t>
        </is>
      </c>
      <c r="F19" t="inlineStr">
        <is>
          <t>SUR</t>
        </is>
      </c>
      <c r="G19" t="inlineStr">
        <is>
          <t>VALLE DEL CAUCA</t>
        </is>
      </c>
      <c r="H19" t="inlineStr">
        <is>
          <t>CALI</t>
        </is>
      </c>
      <c r="I19" t="n">
        <v>1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2988 C PARQUE DE LA CAÑA S - 9060 - TBS - NCR</t>
        </is>
      </c>
      <c r="P19" t="inlineStr">
        <is>
          <t>SGIII-9060-7-2</t>
        </is>
      </c>
      <c r="Q19" t="inlineStr">
        <is>
          <t>MICROSUICHE DIAL COFRE CAJERO</t>
        </is>
      </c>
      <c r="R19" t="inlineStr">
        <is>
          <t>SGIII</t>
        </is>
      </c>
      <c r="S19" t="n">
        <v>0</v>
      </c>
      <c r="T19" t="inlineStr">
        <is>
          <t>ARELY TORRES</t>
        </is>
      </c>
      <c r="U19" t="inlineStr">
        <is>
          <t>Falso positivo</t>
        </is>
      </c>
      <c r="V19" t="inlineStr"/>
      <c r="W19" t="inlineStr">
        <is>
          <t>BRINKS</t>
        </is>
      </c>
      <c r="X19">
        <f>EXACT(TRIM(UPPER(V19)), TRIM(UPPER(W19)))</f>
        <v/>
      </c>
      <c r="Y19" t="inlineStr"/>
      <c r="Z19" t="n">
        <v>7</v>
      </c>
      <c r="AA19" t="inlineStr">
        <is>
          <t>Oportuno</t>
        </is>
      </c>
      <c r="AB19" s="1" t="n">
        <v>46206.29728009259</v>
      </c>
      <c r="AC19" s="1" t="n">
        <v>46206.29736111111</v>
      </c>
      <c r="AD19" s="1" t="n">
        <v>46206.39796296296</v>
      </c>
      <c r="AE19" t="n">
        <v>8699</v>
      </c>
      <c r="AF19" t="inlineStr">
        <is>
          <t>[2026-07-03 07:08:21] ARELY TORRES: [SOP:1] Validando Video ✅ [SOP:2] Enviando Reacción ✅ || [2026-07-03 07:08:21] ARELY TORRES: [SOP:3] Documentando ✅ || [2026-07-03 07:09:00] ARELY TORRES: SE GENERA COBRO DE MALOS, ZONA SIN BYPASEAR A TIEMPO Se valida video por Command y no se evidencia novedad. TDV EN SITIO || [2026-07-03 07:09:01] ARELY TORRES: BK</t>
        </is>
      </c>
    </row>
    <row r="20">
      <c r="A20" t="inlineStr">
        <is>
          <t>E44254EE-15CD-41C9-9DB3-E9340C29C9ED</t>
        </is>
      </c>
      <c r="B20" t="inlineStr">
        <is>
          <t>FF7E0E5D-E05E-41EF-85BD-43BB04DE8CC1</t>
        </is>
      </c>
      <c r="C20" t="n">
        <v>9060</v>
      </c>
      <c r="D20" t="n">
        <v>2988</v>
      </c>
      <c r="E20" t="inlineStr">
        <is>
          <t>ATM</t>
        </is>
      </c>
      <c r="F20" t="inlineStr">
        <is>
          <t>SUR</t>
        </is>
      </c>
      <c r="G20" t="inlineStr">
        <is>
          <t>VALLE DEL CAUCA</t>
        </is>
      </c>
      <c r="H20" t="inlineStr">
        <is>
          <t>CALI</t>
        </is>
      </c>
      <c r="I20" t="n">
        <v>0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2988 C PARQUE DE LA CAÑA S - 9060 - TBS - NCR</t>
        </is>
      </c>
      <c r="P20" t="inlineStr">
        <is>
          <t>SGIII-9060-9-2</t>
        </is>
      </c>
      <c r="Q20" t="inlineStr">
        <is>
          <t>MAGNETICO COFRE CAJERO</t>
        </is>
      </c>
      <c r="R20" t="inlineStr">
        <is>
          <t>SGIII</t>
        </is>
      </c>
      <c r="S20" t="n">
        <v>0</v>
      </c>
      <c r="T20" t="inlineStr">
        <is>
          <t>ARELY TORRES</t>
        </is>
      </c>
      <c r="U20" t="inlineStr">
        <is>
          <t>Falso positivo</t>
        </is>
      </c>
      <c r="V20" t="inlineStr"/>
      <c r="W20" t="inlineStr">
        <is>
          <t>BRINKS</t>
        </is>
      </c>
      <c r="X20">
        <f>EXACT(TRIM(UPPER(V20)), TRIM(UPPER(W20)))</f>
        <v/>
      </c>
      <c r="Y20" t="inlineStr"/>
      <c r="Z20" t="n">
        <v>7</v>
      </c>
      <c r="AA20" t="inlineStr">
        <is>
          <t>Oportuno</t>
        </is>
      </c>
      <c r="AB20" s="1" t="n">
        <v>46206.29730324074</v>
      </c>
      <c r="AC20" s="1" t="n">
        <v>46206.29738425926</v>
      </c>
      <c r="AD20" s="1" t="n">
        <v>46206.39796296296</v>
      </c>
      <c r="AE20" t="n">
        <v>8697</v>
      </c>
      <c r="AF20" t="inlineStr"/>
    </row>
    <row r="21">
      <c r="A21" t="inlineStr">
        <is>
          <t>7059BA0F-9CDF-47B9-91E3-79EA472C375C</t>
        </is>
      </c>
      <c r="B21" t="inlineStr">
        <is>
          <t>9E33C3F6-7EB1-45A5-8215-A8BC637490A5</t>
        </is>
      </c>
      <c r="C21" t="n">
        <v>6023</v>
      </c>
      <c r="D21" t="n">
        <v>1055</v>
      </c>
      <c r="E21" t="inlineStr">
        <is>
          <t>ATM</t>
        </is>
      </c>
      <c r="F21" t="inlineStr">
        <is>
          <t>ANTIOQUIA</t>
        </is>
      </c>
      <c r="G21" t="inlineStr">
        <is>
          <t>ANTIOQUIA</t>
        </is>
      </c>
      <c r="H21" t="inlineStr">
        <is>
          <t>MEDELLÍN</t>
        </is>
      </c>
      <c r="I21" t="n">
        <v>0</v>
      </c>
      <c r="J21" t="n">
        <v>1</v>
      </c>
      <c r="K21" t="inlineStr">
        <is>
          <t>Alta</t>
        </is>
      </c>
      <c r="L21" t="inlineStr">
        <is>
          <t>WF 1047 - ZO01-Zonas 24H-ATM-AP:Disarm</t>
        </is>
      </c>
      <c r="M21" t="inlineStr">
        <is>
          <t>activación perimetral</t>
        </is>
      </c>
      <c r="N21" t="inlineStr">
        <is>
          <t>activación perimetral atm</t>
        </is>
      </c>
      <c r="O21" t="inlineStr">
        <is>
          <t>1055 1056 1057 C HALL FLORIDA PARQUE - 6023</t>
        </is>
      </c>
      <c r="P21" t="inlineStr">
        <is>
          <t>SGIII-6023-14-2</t>
        </is>
      </c>
      <c r="Q21" t="inlineStr">
        <is>
          <t>MICROSUICHE FASCIA INFERIOR KIOSCO</t>
        </is>
      </c>
      <c r="R21" t="inlineStr">
        <is>
          <t>SGIII</t>
        </is>
      </c>
      <c r="S21" t="n">
        <v>0</v>
      </c>
      <c r="T21" t="inlineStr">
        <is>
          <t>kelly aguirre</t>
        </is>
      </c>
      <c r="U21" t="inlineStr">
        <is>
          <t xml:space="preserve">Falso positivo </t>
        </is>
      </c>
      <c r="V21" t="inlineStr"/>
      <c r="W21" t="inlineStr">
        <is>
          <t>FUNCIONARIOS</t>
        </is>
      </c>
      <c r="X21">
        <f>EXACT(TRIM(UPPER(V21)), TRIM(UPPER(W21)))</f>
        <v/>
      </c>
      <c r="Y21" t="inlineStr"/>
      <c r="Z21" t="n">
        <v>7</v>
      </c>
      <c r="AA21" t="inlineStr">
        <is>
          <t>Oportuno</t>
        </is>
      </c>
      <c r="AB21" s="1" t="n">
        <v>46207.68248842593</v>
      </c>
      <c r="AC21" s="1" t="n">
        <v>46207.68256944444</v>
      </c>
      <c r="AD21" s="1" t="n">
        <v>46207.69075231482</v>
      </c>
      <c r="AE21" t="n">
        <v>714</v>
      </c>
      <c r="AF21" t="inlineStr"/>
    </row>
    <row r="22">
      <c r="A22" t="inlineStr">
        <is>
          <t>D44BDE4D-3C6E-462C-A838-D9BDF2DB8EF1</t>
        </is>
      </c>
      <c r="B22" t="inlineStr">
        <is>
          <t>4287379F-8B0B-47AF-9246-9F878359E816</t>
        </is>
      </c>
      <c r="C22" t="n">
        <v>7653</v>
      </c>
      <c r="D22" t="n">
        <v>6628</v>
      </c>
      <c r="E22" t="inlineStr">
        <is>
          <t>ATM</t>
        </is>
      </c>
      <c r="F22" t="inlineStr">
        <is>
          <t>BOG Y SABANA</t>
        </is>
      </c>
      <c r="G22" t="inlineStr">
        <is>
          <t>CUNDINAMARCA</t>
        </is>
      </c>
      <c r="H22" t="inlineStr">
        <is>
          <t>MOSQUERA</t>
        </is>
      </c>
      <c r="I22" t="n">
        <v>1</v>
      </c>
      <c r="J22" t="n">
        <v>1</v>
      </c>
      <c r="K22" t="inlineStr">
        <is>
          <t>Alta</t>
        </is>
      </c>
      <c r="L22" t="inlineStr">
        <is>
          <t>WF 1047 - ZO01-Zonas 24H-ATM-AP:Disarm</t>
        </is>
      </c>
      <c r="M22" t="inlineStr">
        <is>
          <t>activación perimetral</t>
        </is>
      </c>
      <c r="N22" t="inlineStr">
        <is>
          <t>activación perimetral atm</t>
        </is>
      </c>
      <c r="O22" t="inlineStr">
        <is>
          <t>6628 C MULTIFUNCIONAL MOSQUERA - 7653 - AdminSUC</t>
        </is>
      </c>
      <c r="P22" t="inlineStr">
        <is>
          <t>SGIII-7653-11-2</t>
        </is>
      </c>
      <c r="Q22" t="inlineStr">
        <is>
          <t xml:space="preserve">MAGNETICO COFRE CJAERO </t>
        </is>
      </c>
      <c r="R22" t="inlineStr">
        <is>
          <t>SGIII</t>
        </is>
      </c>
      <c r="S22" t="n">
        <v>0</v>
      </c>
      <c r="T22" t="inlineStr">
        <is>
          <t>Neidy Martínez</t>
        </is>
      </c>
      <c r="U22" t="inlineStr">
        <is>
          <t>Falso positivo</t>
        </is>
      </c>
      <c r="V22" t="inlineStr"/>
      <c r="W22" t="inlineStr">
        <is>
          <t>FUNCIONARIOS</t>
        </is>
      </c>
      <c r="X22">
        <f>EXACT(TRIM(UPPER(V22)), TRIM(UPPER(W22)))</f>
        <v/>
      </c>
      <c r="Y22" t="inlineStr"/>
      <c r="Z22" t="n">
        <v>12</v>
      </c>
      <c r="AA22" t="inlineStr">
        <is>
          <t>Oportuno</t>
        </is>
      </c>
      <c r="AB22" s="1" t="n">
        <v>46213.26283564815</v>
      </c>
      <c r="AC22" s="1" t="n">
        <v>46213.26297453704</v>
      </c>
      <c r="AD22" s="1" t="n">
        <v>46213.44462962963</v>
      </c>
      <c r="AE22" t="n">
        <v>15707</v>
      </c>
      <c r="AF22" t="inlineStr">
        <is>
          <t>[2026-07-10 06:19:27] Neidy Martínez: [SOP:1] Validando Video ✅ [SOP:2] Enviando Reacción ✅ [SOP:3] Documentando ✅ || [2026-07-10 06:20:09] Neidy Martínez: sin video || [2026-07-10 06:20:54] Neidy Martínez: 10/07/2026 06:20:00 S01011[#7653|Nri2/OP0022/OR0022]_x0014_ Partición Desarmada USUARIO  22 VATCO || [2026-07-10 06:21:07] Neidy Martínez: Mal manejo, personal en sitio no realiza desarme de la partición de forma oportuna</t>
        </is>
      </c>
    </row>
    <row r="23">
      <c r="A23" t="inlineStr">
        <is>
          <t>FAA6FA10-0FB6-47F7-8B2B-80AC373C2FA3</t>
        </is>
      </c>
      <c r="B23" t="inlineStr">
        <is>
          <t>D0705EFA-4C24-4253-84E9-FE31929F07DB</t>
        </is>
      </c>
      <c r="C23" t="n">
        <v>7482</v>
      </c>
      <c r="D23" t="n">
        <v>7121</v>
      </c>
      <c r="E23" t="inlineStr">
        <is>
          <t>ATM</t>
        </is>
      </c>
      <c r="F23" t="inlineStr">
        <is>
          <t>BOG Y SABANA</t>
        </is>
      </c>
      <c r="G23" t="inlineStr">
        <is>
          <t>CUNDINAMARCA</t>
        </is>
      </c>
      <c r="H23" t="inlineStr">
        <is>
          <t>BOGOTÁ, D.C.</t>
        </is>
      </c>
      <c r="I23" t="n">
        <v>0</v>
      </c>
      <c r="J23" t="n">
        <v>1</v>
      </c>
      <c r="K23" t="inlineStr">
        <is>
          <t>Alta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7121 C MULTIFUNCIONAL PLAZA CLARO - 7482 - ATL - DIEBOLD</t>
        </is>
      </c>
      <c r="P23" t="inlineStr">
        <is>
          <t>Honeywell7810PC-7482-54-2</t>
        </is>
      </c>
      <c r="Q23" t="inlineStr">
        <is>
          <t xml:space="preserve">MAGNETICO CONTRATAPA INFERIOR CAJERO </t>
        </is>
      </c>
      <c r="R23" t="inlineStr">
        <is>
          <t>Honeywell</t>
        </is>
      </c>
      <c r="S23" t="n">
        <v>0</v>
      </c>
      <c r="T23" t="inlineStr">
        <is>
          <t>JHON DAIRO ESCOBAR GARCIA</t>
        </is>
      </c>
      <c r="U23" t="inlineStr">
        <is>
          <t>Falso positivo</t>
        </is>
      </c>
      <c r="V23" t="inlineStr"/>
      <c r="W23" t="inlineStr">
        <is>
          <t>ATLAS</t>
        </is>
      </c>
      <c r="X23">
        <f>EXACT(TRIM(UPPER(V23)), TRIM(UPPER(W23)))</f>
        <v/>
      </c>
      <c r="Y23" t="inlineStr"/>
      <c r="Z23" t="n">
        <v>4</v>
      </c>
      <c r="AA23" t="inlineStr">
        <is>
          <t>Oportuno</t>
        </is>
      </c>
      <c r="AB23" s="1" t="n">
        <v>46216.26837962963</v>
      </c>
      <c r="AC23" s="1" t="n">
        <v>46216.26842592593</v>
      </c>
      <c r="AD23" s="1" t="n">
        <v>46216.47231481481</v>
      </c>
      <c r="AE23" t="n">
        <v>17620</v>
      </c>
      <c r="A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2026-07-29T21:12:50Z</dcterms:created>
  <dcterms:modified xsi:type="dcterms:W3CDTF">2026-07-29T21:12:50Z</dcterms:modified>
</cp:coreProperties>
</file>