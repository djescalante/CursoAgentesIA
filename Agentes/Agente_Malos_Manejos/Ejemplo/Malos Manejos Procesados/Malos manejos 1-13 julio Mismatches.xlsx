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match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IdGrupo</t>
        </is>
      </c>
      <c r="B1" t="inlineStr">
        <is>
          <t>IdAlarma</t>
        </is>
      </c>
      <c r="C1" t="inlineStr">
        <is>
          <t>Abonado</t>
        </is>
      </c>
      <c r="D1" t="inlineStr">
        <is>
          <t>codigo</t>
        </is>
      </c>
      <c r="E1" t="inlineStr">
        <is>
          <t>Tipo de Sitio</t>
        </is>
      </c>
      <c r="F1" t="inlineStr">
        <is>
          <t>Region</t>
        </is>
      </c>
      <c r="G1" t="inlineStr">
        <is>
          <t>departamento</t>
        </is>
      </c>
      <c r="H1" t="inlineStr">
        <is>
          <t>Municipio</t>
        </is>
      </c>
      <c r="I1" t="inlineStr">
        <is>
          <t>EsPadre</t>
        </is>
      </c>
      <c r="J1" t="inlineStr">
        <is>
          <t>Prioridad</t>
        </is>
      </c>
      <c r="K1" t="inlineStr">
        <is>
          <t>Prioridades</t>
        </is>
      </c>
      <c r="L1" t="inlineStr">
        <is>
          <t>DescripcionAlarma</t>
        </is>
      </c>
      <c r="M1" t="inlineStr">
        <is>
          <t>Grupo de incidente</t>
        </is>
      </c>
      <c r="N1" t="inlineStr">
        <is>
          <t>tipo de incidente</t>
        </is>
      </c>
      <c r="O1" t="inlineStr">
        <is>
          <t>Ubicacion</t>
        </is>
      </c>
      <c r="P1" t="inlineStr">
        <is>
          <t>NombreDispositivo</t>
        </is>
      </c>
      <c r="Q1" t="inlineStr">
        <is>
          <t>AliasDispositivo</t>
        </is>
      </c>
      <c r="R1" t="inlineStr">
        <is>
          <t>TipoSensor</t>
        </is>
      </c>
      <c r="S1" t="inlineStr">
        <is>
          <t>ConteoDuplicados</t>
        </is>
      </c>
      <c r="T1" t="inlineStr">
        <is>
          <t>ReconocidoPorNombre</t>
        </is>
      </c>
      <c r="U1" t="inlineStr">
        <is>
          <t>EtiquetaCierre</t>
        </is>
      </c>
      <c r="V1" t="inlineStr">
        <is>
          <t>ResponsableCierre</t>
        </is>
      </c>
      <c r="W1" t="inlineStr">
        <is>
          <t>Cajeros PD</t>
        </is>
      </c>
      <c r="X1" t="inlineStr">
        <is>
          <t>Coincicde?</t>
        </is>
      </c>
      <c r="Y1" t="inlineStr">
        <is>
          <t>ComentarioCierre</t>
        </is>
      </c>
      <c r="Z1" t="inlineStr">
        <is>
          <t>ANS</t>
        </is>
      </c>
      <c r="AA1" t="inlineStr">
        <is>
          <t>Cumplimiento_ANS</t>
        </is>
      </c>
      <c r="AB1" t="inlineStr">
        <is>
          <t>FechaCreacion</t>
        </is>
      </c>
      <c r="AC1" t="inlineStr">
        <is>
          <t>FechaReconocimiento</t>
        </is>
      </c>
      <c r="AD1" t="inlineStr">
        <is>
          <t>FechaCierre</t>
        </is>
      </c>
      <c r="AE1" t="inlineStr">
        <is>
          <t>ANS_cierre</t>
        </is>
      </c>
      <c r="AF1" t="inlineStr">
        <is>
          <t>NotasResumenGrupo</t>
        </is>
      </c>
    </row>
    <row r="2">
      <c r="A2" t="inlineStr">
        <is>
          <t>923D9BE7-53A6-4834-A88B-EA3D7B142908</t>
        </is>
      </c>
      <c r="B2" t="inlineStr">
        <is>
          <t>10D11A27-34C7-46C5-83F0-73252776BD71</t>
        </is>
      </c>
      <c r="C2" t="n">
        <v>7929</v>
      </c>
      <c r="D2" t="n">
        <v>5129</v>
      </c>
      <c r="E2" t="inlineStr">
        <is>
          <t>ATM</t>
        </is>
      </c>
      <c r="F2" t="inlineStr">
        <is>
          <t>BOG Y SABANA</t>
        </is>
      </c>
      <c r="G2" t="inlineStr">
        <is>
          <t>CUNDINAMARCA</t>
        </is>
      </c>
      <c r="H2" t="inlineStr">
        <is>
          <t>BOGOTÁ, D.C.</t>
        </is>
      </c>
      <c r="I2" t="n">
        <v>1</v>
      </c>
      <c r="J2" t="n">
        <v>1</v>
      </c>
      <c r="K2" t="inlineStr">
        <is>
          <t>Alta</t>
        </is>
      </c>
      <c r="L2" t="inlineStr">
        <is>
          <t>WF 1047 - ZO01-Zonas 24H-ATM-AP:Disarm</t>
        </is>
      </c>
      <c r="M2" t="inlineStr">
        <is>
          <t>activación perimetral</t>
        </is>
      </c>
      <c r="N2" t="inlineStr">
        <is>
          <t>activación perimetral atm</t>
        </is>
      </c>
      <c r="O2" t="inlineStr">
        <is>
          <t>5129 3273 5625 5760 C HALL TRINIDAD GALAN GAM - 7929</t>
        </is>
      </c>
      <c r="P2" t="inlineStr">
        <is>
          <t>SGIII-7929-9-2</t>
        </is>
      </c>
      <c r="Q2" t="inlineStr">
        <is>
          <t xml:space="preserve">MAGNETICO HALL ENTRADA PRINCIPAL CAJEROS </t>
        </is>
      </c>
      <c r="R2" t="inlineStr">
        <is>
          <t>SGIII</t>
        </is>
      </c>
      <c r="S2" t="n">
        <v>0</v>
      </c>
      <c r="T2" t="inlineStr">
        <is>
          <t>kelly aguirre</t>
        </is>
      </c>
      <c r="U2" t="inlineStr">
        <is>
          <t>Mal manejo</t>
        </is>
      </c>
      <c r="V2" t="inlineStr">
        <is>
          <t>ATLAS</t>
        </is>
      </c>
      <c r="W2" t="inlineStr">
        <is>
          <t>FUNCIONARIOS</t>
        </is>
      </c>
      <c r="X2">
        <f>EXACT(TRIM(UPPER(V2)), TRIM(UPPER(W2)))</f>
        <v/>
      </c>
      <c r="Y2" t="inlineStr"/>
      <c r="Z2" t="n">
        <v>5</v>
      </c>
      <c r="AA2" t="inlineStr">
        <is>
          <t>Oportuno</t>
        </is>
      </c>
      <c r="AB2" s="1" t="n">
        <v>46204.11940972223</v>
      </c>
      <c r="AC2" s="1" t="n">
        <v>46204.11946759259</v>
      </c>
      <c r="AD2" s="1" t="n">
        <v>46204.1303125</v>
      </c>
      <c r="AE2" t="n">
        <v>942</v>
      </c>
      <c r="AF2" t="inlineStr">
        <is>
          <t>[2026-07-01 02:52:06] kelly aguirre: [SOP:1] Validando Video ✅ [SOP:2] Enviando Reacción ✅ || [2026-07-01 02:52:07] kelly aguirre: [SOP:3] Documentando ✅ || [2026-07-01 02:52:56] kelly aguirre: Por video se observa al momento de la     activación que en el punto esta TDV AT || [2026-07-01 02:53:09] kelly aguirre: PERSONAL DE LA TDV EN SITIO NO REALIZA BYPASS DE LA ZONA EN ACTIVACION LA CUAL OCASIONA ACTIVACIONES</t>
        </is>
      </c>
    </row>
    <row r="3">
      <c r="A3" t="inlineStr">
        <is>
          <t>923D9BE7-53A6-4834-A88B-EA3D7B142908</t>
        </is>
      </c>
      <c r="B3" t="inlineStr">
        <is>
          <t>A4E71697-77A0-4C3A-8D78-6D4A2897916B</t>
        </is>
      </c>
      <c r="C3" t="n">
        <v>7929</v>
      </c>
      <c r="D3" t="n">
        <v>5129</v>
      </c>
      <c r="E3" t="inlineStr">
        <is>
          <t>ATM</t>
        </is>
      </c>
      <c r="F3" t="inlineStr">
        <is>
          <t>BOG Y SABANA</t>
        </is>
      </c>
      <c r="G3" t="inlineStr">
        <is>
          <t>CUNDINAMARCA</t>
        </is>
      </c>
      <c r="H3" t="inlineStr">
        <is>
          <t>BOGOTÁ, D.C.</t>
        </is>
      </c>
      <c r="I3" t="n">
        <v>0</v>
      </c>
      <c r="J3" t="n">
        <v>1</v>
      </c>
      <c r="K3" t="inlineStr">
        <is>
          <t>Alta</t>
        </is>
      </c>
      <c r="L3" t="inlineStr">
        <is>
          <t>WF 1047 - ZO01-Zonas 24H-ATM-AP:Disarm</t>
        </is>
      </c>
      <c r="M3" t="inlineStr">
        <is>
          <t>activación perimetral</t>
        </is>
      </c>
      <c r="N3" t="inlineStr">
        <is>
          <t>activación perimetral atm</t>
        </is>
      </c>
      <c r="O3" t="inlineStr">
        <is>
          <t>5129 3273 5625 5760 C HALL TRINIDAD GALAN GAM - 7929</t>
        </is>
      </c>
      <c r="P3" t="inlineStr">
        <is>
          <t>SGIII-7929-10-2</t>
        </is>
      </c>
      <c r="Q3" t="inlineStr">
        <is>
          <t>INFRARROJO HALL CAJEROS</t>
        </is>
      </c>
      <c r="R3" t="inlineStr">
        <is>
          <t>SGIII</t>
        </is>
      </c>
      <c r="S3" t="n">
        <v>0</v>
      </c>
      <c r="T3" t="inlineStr">
        <is>
          <t>kelly aguirre</t>
        </is>
      </c>
      <c r="U3" t="inlineStr">
        <is>
          <t>Mal manejo</t>
        </is>
      </c>
      <c r="V3" t="inlineStr">
        <is>
          <t>ATLAS</t>
        </is>
      </c>
      <c r="W3" t="inlineStr">
        <is>
          <t>FUNCIONARIOS</t>
        </is>
      </c>
      <c r="X3">
        <f>EXACT(TRIM(UPPER(V3)), TRIM(UPPER(W3)))</f>
        <v/>
      </c>
      <c r="Y3" t="inlineStr"/>
      <c r="Z3" t="n">
        <v>8</v>
      </c>
      <c r="AA3" t="inlineStr">
        <is>
          <t>Oportuno</t>
        </is>
      </c>
      <c r="AB3" s="1" t="n">
        <v>46204.11942129629</v>
      </c>
      <c r="AC3" s="1" t="n">
        <v>46204.11951388889</v>
      </c>
      <c r="AD3" s="1" t="n">
        <v>46204.1303125</v>
      </c>
      <c r="AE3" t="n">
        <v>941</v>
      </c>
      <c r="AF3" t="inlineStr"/>
    </row>
    <row r="4">
      <c r="A4" t="inlineStr">
        <is>
          <t>A1197B15-A11C-4306-BFA8-2CE8F60E06AA</t>
        </is>
      </c>
      <c r="B4" t="inlineStr">
        <is>
          <t>0E3BC721-D556-406A-9EE7-BDC720908803</t>
        </is>
      </c>
      <c r="C4" t="n">
        <v>7929</v>
      </c>
      <c r="D4" t="n">
        <v>5129</v>
      </c>
      <c r="E4" t="inlineStr">
        <is>
          <t>ATM</t>
        </is>
      </c>
      <c r="F4" t="inlineStr">
        <is>
          <t>BOG Y SABANA</t>
        </is>
      </c>
      <c r="G4" t="inlineStr">
        <is>
          <t>CUNDINAMARCA</t>
        </is>
      </c>
      <c r="H4" t="inlineStr">
        <is>
          <t>BOGOTÁ, D.C.</t>
        </is>
      </c>
      <c r="I4" t="n">
        <v>1</v>
      </c>
      <c r="J4" t="n">
        <v>1</v>
      </c>
      <c r="K4" t="inlineStr">
        <is>
          <t>Alta</t>
        </is>
      </c>
      <c r="L4" t="inlineStr">
        <is>
          <t>WF 1047 - ZO01-Zonas 24H-ATM-AP:Disarm</t>
        </is>
      </c>
      <c r="M4" t="inlineStr">
        <is>
          <t>activación perimetral</t>
        </is>
      </c>
      <c r="N4" t="inlineStr">
        <is>
          <t>activación perimetral atm</t>
        </is>
      </c>
      <c r="O4" t="inlineStr">
        <is>
          <t>5129 3273 5625 5760 C HALL TRINIDAD GALAN GAM - 7929</t>
        </is>
      </c>
      <c r="P4" t="inlineStr">
        <is>
          <t>SGIII-7929-10-2</t>
        </is>
      </c>
      <c r="Q4" t="inlineStr">
        <is>
          <t>INFRARROJO HALL CAJEROS</t>
        </is>
      </c>
      <c r="R4" t="inlineStr">
        <is>
          <t>SGIII</t>
        </is>
      </c>
      <c r="S4" t="n">
        <v>0</v>
      </c>
      <c r="T4" t="inlineStr">
        <is>
          <t>Neidy Martínez</t>
        </is>
      </c>
      <c r="U4" t="inlineStr">
        <is>
          <t>Mal manejo</t>
        </is>
      </c>
      <c r="V4" t="inlineStr">
        <is>
          <t>ATLAS</t>
        </is>
      </c>
      <c r="W4" t="inlineStr">
        <is>
          <t>FUNCIONARIOS</t>
        </is>
      </c>
      <c r="X4">
        <f>EXACT(TRIM(UPPER(V4)), TRIM(UPPER(W4)))</f>
        <v/>
      </c>
      <c r="Y4" t="inlineStr"/>
      <c r="Z4" t="n">
        <v>5</v>
      </c>
      <c r="AA4" t="inlineStr">
        <is>
          <t>Oportuno</t>
        </is>
      </c>
      <c r="AB4" s="1" t="n">
        <v>46204.13042824074</v>
      </c>
      <c r="AC4" s="1" t="n">
        <v>46204.13048611111</v>
      </c>
      <c r="AD4" s="1" t="n">
        <v>46204.13655092593</v>
      </c>
      <c r="AE4" t="n">
        <v>529</v>
      </c>
      <c r="AF4" t="inlineStr">
        <is>
          <t>[2026-07-01 03:09:04] Neidy Martínez: [SOP:1] Validando Video ✅ [SOP:2] Enviando Reacción ✅ [SOP:3] Documentando ✅ || [2026-07-01 03:10:02] Neidy Martínez: Se valida por video command se observa tdv ATLAS en el sitio     Mal manejo, personal en sitio no realiza bypass de la zona 24 Horas</t>
        </is>
      </c>
    </row>
    <row r="5">
      <c r="A5" t="inlineStr">
        <is>
          <t>94DFEABD-43D1-4D62-910F-E2C68560893C</t>
        </is>
      </c>
      <c r="B5" t="inlineStr">
        <is>
          <t>67DEE4F9-25AD-4EF8-8320-C7A3CA41DA85</t>
        </is>
      </c>
      <c r="C5" t="n">
        <v>7744</v>
      </c>
      <c r="D5" t="n">
        <v>6300</v>
      </c>
      <c r="E5" t="inlineStr">
        <is>
          <t>ATM</t>
        </is>
      </c>
      <c r="F5" t="inlineStr">
        <is>
          <t>BOG Y SABANA</t>
        </is>
      </c>
      <c r="G5" t="inlineStr">
        <is>
          <t>CUNDINAMARCA</t>
        </is>
      </c>
      <c r="H5" t="inlineStr">
        <is>
          <t>CHÍA</t>
        </is>
      </c>
      <c r="I5" t="n">
        <v>1</v>
      </c>
      <c r="J5" t="n">
        <v>1</v>
      </c>
      <c r="K5" t="inlineStr">
        <is>
          <t>Alta</t>
        </is>
      </c>
      <c r="L5" t="inlineStr">
        <is>
          <t>WF 1047 - ZO01-Zonas 24H-ATM-AP:Disarm</t>
        </is>
      </c>
      <c r="M5" t="inlineStr">
        <is>
          <t>activación perimetral</t>
        </is>
      </c>
      <c r="N5" t="inlineStr">
        <is>
          <t>activación perimetral atm</t>
        </is>
      </c>
      <c r="O5" t="inlineStr">
        <is>
          <t>6300 C CHIA - 7744 - TBS - NCR</t>
        </is>
      </c>
      <c r="P5" t="inlineStr">
        <is>
          <t>SGIII-7744-34-4</t>
        </is>
      </c>
      <c r="Q5" t="inlineStr">
        <is>
          <t xml:space="preserve">MAGNETICO FASCIA SUPERIOR CAJERO </t>
        </is>
      </c>
      <c r="R5" t="inlineStr">
        <is>
          <t>SGIII</t>
        </is>
      </c>
      <c r="S5" t="n">
        <v>0</v>
      </c>
      <c r="T5" t="inlineStr">
        <is>
          <t>ARELY TORRES</t>
        </is>
      </c>
      <c r="U5" t="inlineStr">
        <is>
          <t>Mal manejo</t>
        </is>
      </c>
      <c r="V5" t="inlineStr">
        <is>
          <t>ATLAS</t>
        </is>
      </c>
      <c r="W5" t="inlineStr">
        <is>
          <t>TRANSBANK</t>
        </is>
      </c>
      <c r="X5">
        <f>EXACT(TRIM(UPPER(V5)), TRIM(UPPER(W5)))</f>
        <v/>
      </c>
      <c r="Y5" t="inlineStr"/>
      <c r="Z5" t="n">
        <v>7</v>
      </c>
      <c r="AA5" t="inlineStr">
        <is>
          <t>Oportuno</t>
        </is>
      </c>
      <c r="AB5" s="1" t="n">
        <v>46204.28027777778</v>
      </c>
      <c r="AC5" s="1" t="n">
        <v>46204.2803587963</v>
      </c>
      <c r="AD5" s="1" t="n">
        <v>46204.32922453704</v>
      </c>
      <c r="AE5" t="n">
        <v>4229</v>
      </c>
      <c r="AF5" t="inlineStr">
        <is>
          <t>[2026-07-01 06:43:59] ARELY TORRES: [SOP:1] Validando Video ✅ [SOP:2] Enviando Reacción ✅ [SOP:3] Documentando ✅ || [2026-07-01 06:45:06] ARELY TORRES: Se valida video por Command y no se evidencia novedad TDV EN SITIO DESARME NO OPORTUNO || [2026-07-01 06:45:09] ARELY TORRES: ATLAS</t>
        </is>
      </c>
    </row>
    <row r="6">
      <c r="A6" t="inlineStr">
        <is>
          <t>6686EB1E-3B2A-4317-9420-10DBCFF06F61</t>
        </is>
      </c>
      <c r="B6" t="inlineStr">
        <is>
          <t>461CF3A4-6E6A-4A85-9A89-DFB9756B36D7</t>
        </is>
      </c>
      <c r="C6" t="n">
        <v>9326</v>
      </c>
      <c r="D6" t="n">
        <v>7156</v>
      </c>
      <c r="E6" t="inlineStr">
        <is>
          <t>ATM</t>
        </is>
      </c>
      <c r="F6" t="inlineStr">
        <is>
          <t>CARIBE</t>
        </is>
      </c>
      <c r="G6" t="inlineStr">
        <is>
          <t>CESAR</t>
        </is>
      </c>
      <c r="H6" t="inlineStr">
        <is>
          <t>VALLEDUPAR</t>
        </is>
      </c>
      <c r="I6" t="n">
        <v>1</v>
      </c>
      <c r="J6" t="n">
        <v>1</v>
      </c>
      <c r="K6" t="inlineStr">
        <is>
          <t>Alta</t>
        </is>
      </c>
      <c r="L6" t="inlineStr">
        <is>
          <t>WF 1047 - ZO01-Zonas 24H-ATM-AP:Disarm</t>
        </is>
      </c>
      <c r="M6" t="inlineStr">
        <is>
          <t>activación perimetral</t>
        </is>
      </c>
      <c r="N6" t="inlineStr">
        <is>
          <t>activación perimetral atm</t>
        </is>
      </c>
      <c r="O6" t="inlineStr">
        <is>
          <t>7156 C EXITO CENTRO VALLEDUPAR - 9326 - TBS - DIEBOLD</t>
        </is>
      </c>
      <c r="P6" t="inlineStr">
        <is>
          <t>SGIII-9326-2-1</t>
        </is>
      </c>
      <c r="Q6" t="inlineStr">
        <is>
          <t>MICROSUICHE TAPA TECLADO CAJERO</t>
        </is>
      </c>
      <c r="R6" t="inlineStr">
        <is>
          <t>SGIII</t>
        </is>
      </c>
      <c r="S6" t="n">
        <v>0</v>
      </c>
      <c r="T6" t="inlineStr">
        <is>
          <t>Laura Valentina Restrepo Jaramillo</t>
        </is>
      </c>
      <c r="U6" t="inlineStr">
        <is>
          <t>Mal manejo</t>
        </is>
      </c>
      <c r="V6" t="inlineStr">
        <is>
          <t>BRINKS</t>
        </is>
      </c>
      <c r="W6" t="inlineStr">
        <is>
          <t>TRANSBANK</t>
        </is>
      </c>
      <c r="X6">
        <f>EXACT(TRIM(UPPER(V6)), TRIM(UPPER(W6)))</f>
        <v/>
      </c>
      <c r="Y6" t="inlineStr"/>
      <c r="Z6" t="n">
        <v>5</v>
      </c>
      <c r="AA6" t="inlineStr">
        <is>
          <t>Oportuno</t>
        </is>
      </c>
      <c r="AB6" s="1" t="n">
        <v>46204.29431712963</v>
      </c>
      <c r="AC6" s="1" t="n">
        <v>46204.294375</v>
      </c>
      <c r="AD6" s="1" t="n">
        <v>46204.36144675926</v>
      </c>
      <c r="AE6" t="n">
        <v>5800</v>
      </c>
      <c r="AF6" t="inlineStr">
        <is>
          <t>[2026-07-01 07:03:59] Laura Valentina Restrepo Jaramillo: [SOP:1] Validando Video ✅ [SOP:2] Enviando Reacción ✅ [SOP:3] Documentando ✅ || [2026-07-01 07:04:40] Laura Valentina Restrepo Jaramillo: Se verifica por video cámara relacionada en tiempo real, TDV en el punto en aparente normalidad bk || [2026-07-01 07:04:46] Laura Valentina Restrepo Jaramillo: Activación generada por desarme inoportuno</t>
        </is>
      </c>
    </row>
    <row r="7">
      <c r="A7" t="inlineStr">
        <is>
          <t>E41D6D3B-1F41-46D1-AAE1-54F79C60454B</t>
        </is>
      </c>
      <c r="B7" t="inlineStr">
        <is>
          <t>9C692B75-64B7-46CE-9EBB-C4E3505174B6</t>
        </is>
      </c>
      <c r="C7" t="n">
        <v>9081</v>
      </c>
      <c r="D7" t="n">
        <v>2229</v>
      </c>
      <c r="E7" t="inlineStr">
        <is>
          <t>ATM</t>
        </is>
      </c>
      <c r="F7" t="inlineStr">
        <is>
          <t>BOG Y SABANA</t>
        </is>
      </c>
      <c r="G7" t="inlineStr">
        <is>
          <t>CUNDINAMARCA</t>
        </is>
      </c>
      <c r="H7" t="inlineStr">
        <is>
          <t>BOGOTÁ, D.C.</t>
        </is>
      </c>
      <c r="I7" t="n">
        <v>1</v>
      </c>
      <c r="J7" t="n">
        <v>1</v>
      </c>
      <c r="K7" t="inlineStr">
        <is>
          <t>Alta</t>
        </is>
      </c>
      <c r="L7" t="inlineStr">
        <is>
          <t>WF 1047 - ZO01-Zonas 24H-ATM-AP:Disarm</t>
        </is>
      </c>
      <c r="M7" t="inlineStr">
        <is>
          <t>activación perimetral</t>
        </is>
      </c>
      <c r="N7" t="inlineStr">
        <is>
          <t>activación perimetral atm</t>
        </is>
      </c>
      <c r="O7" t="inlineStr">
        <is>
          <t>2229 C TOBERIN - VS 128 - 9081 - BK - DIEBOLD</t>
        </is>
      </c>
      <c r="P7" t="inlineStr">
        <is>
          <t>Honeywell7810PC-9081-24-3</t>
        </is>
      </c>
      <c r="Q7" t="inlineStr">
        <is>
          <t>MICROSUICHE CONTRATAPA INFERIOR CAJERO</t>
        </is>
      </c>
      <c r="R7" t="inlineStr">
        <is>
          <t>Honeywell</t>
        </is>
      </c>
      <c r="S7" t="n">
        <v>0</v>
      </c>
      <c r="T7" t="inlineStr">
        <is>
          <t>Adier Cuitiva Mayo</t>
        </is>
      </c>
      <c r="U7" t="inlineStr">
        <is>
          <t>Mal manejo</t>
        </is>
      </c>
      <c r="V7" t="inlineStr">
        <is>
          <t>ATLAS</t>
        </is>
      </c>
      <c r="W7" t="inlineStr">
        <is>
          <t>BRINKS</t>
        </is>
      </c>
      <c r="X7">
        <f>EXACT(TRIM(UPPER(V7)), TRIM(UPPER(W7)))</f>
        <v/>
      </c>
      <c r="Y7" t="inlineStr"/>
      <c r="Z7" t="n">
        <v>5</v>
      </c>
      <c r="AA7" t="inlineStr">
        <is>
          <t>Oportuno</t>
        </is>
      </c>
      <c r="AB7" s="1" t="n">
        <v>46204.30202546297</v>
      </c>
      <c r="AC7" s="1" t="n">
        <v>46204.30208333334</v>
      </c>
      <c r="AD7" s="1" t="n">
        <v>46204.56275462963</v>
      </c>
      <c r="AE7" t="n">
        <v>22527</v>
      </c>
      <c r="AF7" t="inlineStr">
        <is>
          <t>[2026-07-01 07:36:28] Adier Cuitiva Mayo: [SOP:1] Validando Video ✅ [SOP:2] Enviando Reacción ✅ [SOP:3] Documentando ✅ || [2026-07-01 07:39:02] Adier Cuitiva Mayo: Se verifica por video cámara relacionada en tiempo real, TDV AT en el punto en aparente normalidad || [2026-07-01 07:39:14] Adier Cuitiva Mayo: Mal manejo, personal no realizan bypass de la zona de forma oportuna</t>
        </is>
      </c>
    </row>
    <row r="8">
      <c r="A8" t="inlineStr">
        <is>
          <t>BF2D210F-FC82-425B-8A8B-5CB6EC3192D7</t>
        </is>
      </c>
      <c r="B8" t="inlineStr">
        <is>
          <t>D0783D27-CA4F-4974-AE08-0F696349FBF4</t>
        </is>
      </c>
      <c r="C8" t="n">
        <v>1666</v>
      </c>
      <c r="D8" t="n">
        <v>666</v>
      </c>
      <c r="E8" t="inlineStr">
        <is>
          <t>Sucursal</t>
        </is>
      </c>
      <c r="F8" t="inlineStr">
        <is>
          <t>BOG Y SABANA</t>
        </is>
      </c>
      <c r="G8" t="inlineStr">
        <is>
          <t>CUNDINAMARCA</t>
        </is>
      </c>
      <c r="H8" t="inlineStr">
        <is>
          <t>BOGOTÁ, D.C.</t>
        </is>
      </c>
      <c r="I8" t="n">
        <v>1</v>
      </c>
      <c r="J8" t="n">
        <v>1</v>
      </c>
      <c r="K8" t="inlineStr">
        <is>
          <t>Alta</t>
        </is>
      </c>
      <c r="L8" t="inlineStr">
        <is>
          <t>WF 1055 - ZO09-Zonas 24H-Tamper y Antimascara AP:A</t>
        </is>
      </c>
      <c r="M8" t="inlineStr">
        <is>
          <t>activación tamper y antimascara</t>
        </is>
      </c>
      <c r="N8" t="inlineStr">
        <is>
          <t>activación tamper y antimascara</t>
        </is>
      </c>
      <c r="O8" t="inlineStr">
        <is>
          <t>0666 S PARK WAY - 1666</t>
        </is>
      </c>
      <c r="P8" t="inlineStr">
        <is>
          <t>Honeywell7810PC-1666-8-1</t>
        </is>
      </c>
      <c r="Q8" t="inlineStr">
        <is>
          <t xml:space="preserve">TAMPER CAJA MARNELL </t>
        </is>
      </c>
      <c r="R8" t="inlineStr">
        <is>
          <t>Honeywell</t>
        </is>
      </c>
      <c r="S8" t="n">
        <v>0</v>
      </c>
      <c r="T8" t="inlineStr">
        <is>
          <t>Adier Cuitiva Mayo</t>
        </is>
      </c>
      <c r="U8" t="inlineStr">
        <is>
          <t>Mal manejo</t>
        </is>
      </c>
      <c r="V8" t="inlineStr">
        <is>
          <t>BRINKS</t>
        </is>
      </c>
      <c r="W8" t="inlineStr">
        <is>
          <t>FUNCIONARIOS</t>
        </is>
      </c>
      <c r="X8">
        <f>EXACT(TRIM(UPPER(V8)), TRIM(UPPER(W8)))</f>
        <v/>
      </c>
      <c r="Y8" t="inlineStr"/>
      <c r="Z8" t="n">
        <v>6</v>
      </c>
      <c r="AA8" t="inlineStr">
        <is>
          <t>Oportuno</t>
        </is>
      </c>
      <c r="AB8" s="1" t="n">
        <v>46204.37851851852</v>
      </c>
      <c r="AC8" s="1" t="n">
        <v>46204.37858796296</v>
      </c>
      <c r="AD8" s="1" t="n">
        <v>46204.56600694444</v>
      </c>
      <c r="AE8" t="n">
        <v>16199</v>
      </c>
      <c r="AF8" t="inlineStr">
        <is>
          <t>[2026-07-01 09:05:17] Adier Cuitiva Mayo: [SOP:1] Validando Video ✅ [SOP:2] Enviando Reacción ✅ [SOP:3] Documentando ✅ || [2026-07-01 09:05:57] Adier Cuitiva Mayo: Se verifica por video cámara relacionada en tiempo real, en el punto en aparente normalidad || [2026-07-01 09:06:07] Adier Cuitiva Mayo: En desmunte obras</t>
        </is>
      </c>
    </row>
    <row r="9">
      <c r="A9" t="inlineStr">
        <is>
          <t>BF2D210F-FC82-425B-8A8B-5CB6EC3192D7</t>
        </is>
      </c>
      <c r="B9" t="inlineStr">
        <is>
          <t>79046292-2CFD-4C5C-9545-F9DCA73E42A8</t>
        </is>
      </c>
      <c r="C9" t="n">
        <v>1666</v>
      </c>
      <c r="D9" t="n">
        <v>666</v>
      </c>
      <c r="E9" t="inlineStr">
        <is>
          <t>Sucursal</t>
        </is>
      </c>
      <c r="F9" t="inlineStr">
        <is>
          <t>BOG Y SABANA</t>
        </is>
      </c>
      <c r="G9" t="inlineStr">
        <is>
          <t>CUNDINAMARCA</t>
        </is>
      </c>
      <c r="H9" t="inlineStr">
        <is>
          <t>BOGOTÁ, D.C.</t>
        </is>
      </c>
      <c r="I9" t="n">
        <v>0</v>
      </c>
      <c r="J9" t="n">
        <v>1</v>
      </c>
      <c r="K9" t="inlineStr">
        <is>
          <t>Alta</t>
        </is>
      </c>
      <c r="L9" t="inlineStr">
        <is>
          <t>WF 1055 - ZO09-Zonas 24H-Tamper y Antimascara AP:A</t>
        </is>
      </c>
      <c r="M9" t="inlineStr">
        <is>
          <t>activación tamper y antimascara</t>
        </is>
      </c>
      <c r="N9" t="inlineStr">
        <is>
          <t>activación tamper y antimascara</t>
        </is>
      </c>
      <c r="O9" t="inlineStr">
        <is>
          <t>0666 S PARK WAY - 1666</t>
        </is>
      </c>
      <c r="P9" t="inlineStr">
        <is>
          <t>Honeywell7810PC-1666-84-1</t>
        </is>
      </c>
      <c r="Q9" t="inlineStr">
        <is>
          <t xml:space="preserve">TAMPER CENTRAL PARK WAY </t>
        </is>
      </c>
      <c r="R9" t="inlineStr">
        <is>
          <t>Honeywell</t>
        </is>
      </c>
      <c r="S9" t="n">
        <v>0</v>
      </c>
      <c r="T9" t="inlineStr">
        <is>
          <t>Adier Cuitiva Mayo</t>
        </is>
      </c>
      <c r="U9" t="inlineStr">
        <is>
          <t>Mal manejo</t>
        </is>
      </c>
      <c r="V9" t="inlineStr">
        <is>
          <t>BRINKS</t>
        </is>
      </c>
      <c r="W9" t="inlineStr">
        <is>
          <t>FUNCIONARIOS</t>
        </is>
      </c>
      <c r="X9">
        <f>EXACT(TRIM(UPPER(V9)), TRIM(UPPER(W9)))</f>
        <v/>
      </c>
      <c r="Y9" t="inlineStr"/>
      <c r="Z9" t="n">
        <v>4</v>
      </c>
      <c r="AA9" t="inlineStr">
        <is>
          <t>Oportuno</t>
        </is>
      </c>
      <c r="AB9" s="1" t="n">
        <v>46204.37854166667</v>
      </c>
      <c r="AC9" s="1" t="n">
        <v>46204.37858796296</v>
      </c>
      <c r="AD9" s="1" t="n">
        <v>46204.56600694444</v>
      </c>
      <c r="AE9" t="n">
        <v>16197</v>
      </c>
      <c r="AF9" t="inlineStr"/>
    </row>
    <row r="10">
      <c r="A10" t="inlineStr">
        <is>
          <t>0720E635-9E93-4C89-A1C6-44B281B5949D</t>
        </is>
      </c>
      <c r="B10" t="inlineStr">
        <is>
          <t>97F10848-8CAF-4B6E-9300-C90BE9EFB679</t>
        </is>
      </c>
      <c r="C10" t="n">
        <v>7969</v>
      </c>
      <c r="D10" t="n">
        <v>5116</v>
      </c>
      <c r="E10" t="inlineStr">
        <is>
          <t>ATM</t>
        </is>
      </c>
      <c r="F10" t="inlineStr">
        <is>
          <t>ANTIOQUIA</t>
        </is>
      </c>
      <c r="G10" t="inlineStr">
        <is>
          <t>ANTIOQUIA</t>
        </is>
      </c>
      <c r="H10" t="inlineStr">
        <is>
          <t>ITAGUI</t>
        </is>
      </c>
      <c r="I10" t="n">
        <v>1</v>
      </c>
      <c r="J10" t="n">
        <v>1</v>
      </c>
      <c r="K10" t="inlineStr">
        <is>
          <t>Alta</t>
        </is>
      </c>
      <c r="L10" t="inlineStr">
        <is>
          <t>WF 1047 - ZO01-Zonas 24H-ATM-AP:Disarm</t>
        </is>
      </c>
      <c r="M10" t="inlineStr">
        <is>
          <t>activación perimetral</t>
        </is>
      </c>
      <c r="N10" t="inlineStr">
        <is>
          <t>activación perimetral atm</t>
        </is>
      </c>
      <c r="O10" t="inlineStr">
        <is>
          <t>5116 C CENTRO DE LA CONFECCION SUC - 7969 - AdminSUC - BELLTECH - NCR</t>
        </is>
      </c>
      <c r="P10" t="inlineStr">
        <is>
          <t>SGIII-7969-72-7</t>
        </is>
      </c>
      <c r="Q10" t="inlineStr">
        <is>
          <t>MICROSUICHE CONTRATAPA MECANISMOS CAJERO</t>
        </is>
      </c>
      <c r="R10" t="inlineStr">
        <is>
          <t>SGIII</t>
        </is>
      </c>
      <c r="S10" t="n">
        <v>2</v>
      </c>
      <c r="T10" t="inlineStr">
        <is>
          <t>Adier Cuitiva Mayo</t>
        </is>
      </c>
      <c r="U10" t="inlineStr">
        <is>
          <t>Mal manejo</t>
        </is>
      </c>
      <c r="V10" t="inlineStr">
        <is>
          <t>ATLAS</t>
        </is>
      </c>
      <c r="W10" t="inlineStr">
        <is>
          <t>FUNCIONARIOS</t>
        </is>
      </c>
      <c r="X10">
        <f>EXACT(TRIM(UPPER(V10)), TRIM(UPPER(W10)))</f>
        <v/>
      </c>
      <c r="Y10" t="inlineStr"/>
      <c r="Z10" t="n">
        <v>11</v>
      </c>
      <c r="AA10" t="inlineStr">
        <is>
          <t>Oportuno</t>
        </is>
      </c>
      <c r="AB10" s="1" t="n">
        <v>46204.50003472222</v>
      </c>
      <c r="AC10" s="1" t="n">
        <v>46204.50016203704</v>
      </c>
      <c r="AD10" s="1" t="n">
        <v>46204.57832175926</v>
      </c>
      <c r="AE10" t="n">
        <v>6764</v>
      </c>
      <c r="AF10" t="inlineStr">
        <is>
          <t>[2026-07-01 12:00:20] Adier Cuitiva Mayo: [SOP:1] Validando Video ✅ [SOP:2] Enviando Reacción ✅ [SOP:3] Documentando ✅ || [2026-07-01 12:24:19] Adier Cuitiva Mayo: Se verifica por video cámara relacionada en tiempo real, TDV AT en el punto en aparente normalidad || [2026-07-01 12:25:14] Adier Cuitiva Mayo: Mal manejo, personal no realizan bypass de la zona de forma oportuna</t>
        </is>
      </c>
    </row>
    <row r="11">
      <c r="A11" t="inlineStr">
        <is>
          <t>7B594AC5-9B74-4AA5-B5C4-7D7BBDA80AF7</t>
        </is>
      </c>
      <c r="B11" t="inlineStr">
        <is>
          <t>80962725-DE3B-4F69-A614-90472F9DA3B0</t>
        </is>
      </c>
      <c r="C11" t="n">
        <v>7298</v>
      </c>
      <c r="D11" t="n">
        <v>8086</v>
      </c>
      <c r="E11" t="inlineStr">
        <is>
          <t>ATM</t>
        </is>
      </c>
      <c r="F11" t="inlineStr">
        <is>
          <t>ANTIOQUIA</t>
        </is>
      </c>
      <c r="G11" t="inlineStr">
        <is>
          <t>ANTIOQUIA</t>
        </is>
      </c>
      <c r="H11" t="inlineStr">
        <is>
          <t>MEDELLÍN</t>
        </is>
      </c>
      <c r="I11" t="n">
        <v>1</v>
      </c>
      <c r="J11" t="n">
        <v>1</v>
      </c>
      <c r="K11" t="inlineStr">
        <is>
          <t>Alta</t>
        </is>
      </c>
      <c r="L11" t="inlineStr">
        <is>
          <t>WF 1047 - ZO01-Zonas 24H-ATM-AP:Disarm</t>
        </is>
      </c>
      <c r="M11" t="inlineStr">
        <is>
          <t>activación perimetral</t>
        </is>
      </c>
      <c r="N11" t="inlineStr">
        <is>
          <t>activación perimetral atm</t>
        </is>
      </c>
      <c r="O11" t="inlineStr">
        <is>
          <t>8086 C EDS MALL LOS ANGELES - 7298 - ATL - NCR</t>
        </is>
      </c>
      <c r="P11" t="inlineStr">
        <is>
          <t>SGIII-7298-4-2</t>
        </is>
      </c>
      <c r="Q11" t="inlineStr">
        <is>
          <t xml:space="preserve">MAGNETICO FASCIA SUPERIOR CAJERO </t>
        </is>
      </c>
      <c r="R11" t="inlineStr">
        <is>
          <t>SGIII</t>
        </is>
      </c>
      <c r="S11" t="n">
        <v>0</v>
      </c>
      <c r="T11" t="inlineStr">
        <is>
          <t>EDWER DANIEL MUÑOZ</t>
        </is>
      </c>
      <c r="U11" t="inlineStr">
        <is>
          <t>Mal manejo</t>
        </is>
      </c>
      <c r="V11" t="inlineStr">
        <is>
          <t>BRINKS</t>
        </is>
      </c>
      <c r="W11" t="inlineStr">
        <is>
          <t>ATLAS</t>
        </is>
      </c>
      <c r="X11">
        <f>EXACT(TRIM(UPPER(V11)), TRIM(UPPER(W11)))</f>
        <v/>
      </c>
      <c r="Y11" t="inlineStr"/>
      <c r="Z11" t="n">
        <v>12</v>
      </c>
      <c r="AA11" t="inlineStr">
        <is>
          <t>Oportuno</t>
        </is>
      </c>
      <c r="AB11" s="1" t="n">
        <v>46204.62607638889</v>
      </c>
      <c r="AC11" s="1" t="n">
        <v>46204.62621527778</v>
      </c>
      <c r="AD11" s="1" t="n">
        <v>46204.65789351852</v>
      </c>
      <c r="AE11" t="n">
        <v>2749</v>
      </c>
      <c r="AF11" t="inlineStr">
        <is>
          <t>[2026-07-01 15:10:50] EDWER DANIEL MUÑOZ: [SOP:3] Documentando ✅ || [2026-07-01 15:10:50] EDWER DANIEL MUÑOZ: [SOP:1] Validando Video ✅ [SOP:2] Enviando Reacción ✅ || [2026-07-01 15:11:06] EDWER DANIEL MUÑOZ: USU Se verifica por video cámara relacionada en tiempo real, se observa en aparente normalidad usuarios en transacción || [2026-07-01 15:11:24] EDWER DANIEL MUÑOZ: TDV Se verifica por video cámara relacionada en tiempo real, activación de la zona,   SIN DESARME DE LA PARTICIÓN,    MAL MANEJO en sitio TDV BK</t>
        </is>
      </c>
    </row>
    <row r="12">
      <c r="A12" t="inlineStr">
        <is>
          <t>0CF7D86D-118E-4E73-813B-DA90EB515E49</t>
        </is>
      </c>
      <c r="B12" t="inlineStr">
        <is>
          <t>8D6AA44A-CE22-48B1-8CED-5CBB40FBEE16</t>
        </is>
      </c>
      <c r="C12" t="n">
        <v>6997</v>
      </c>
      <c r="D12" t="n">
        <v>8726</v>
      </c>
      <c r="E12" t="inlineStr">
        <is>
          <t>ATM</t>
        </is>
      </c>
      <c r="F12" t="inlineStr">
        <is>
          <t>SUR</t>
        </is>
      </c>
      <c r="G12" t="inlineStr">
        <is>
          <t>VALLE DEL CAUCA</t>
        </is>
      </c>
      <c r="H12" t="inlineStr">
        <is>
          <t>CALI</t>
        </is>
      </c>
      <c r="I12" t="n">
        <v>1</v>
      </c>
      <c r="J12" t="n">
        <v>1</v>
      </c>
      <c r="K12" t="inlineStr">
        <is>
          <t>Alta</t>
        </is>
      </c>
      <c r="L12" t="inlineStr">
        <is>
          <t>WF 1047 - ZO01-Zonas 24H-ATM-AP:Disarm</t>
        </is>
      </c>
      <c r="M12" t="inlineStr">
        <is>
          <t>activación perimetral</t>
        </is>
      </c>
      <c r="N12" t="inlineStr">
        <is>
          <t>activación perimetral atm</t>
        </is>
      </c>
      <c r="O12" t="inlineStr">
        <is>
          <t>8726 8727 8728 8729 C MF HALL CALI PRINCIPAL - 6997 - AdminSUC - DIEBOLD</t>
        </is>
      </c>
      <c r="P12" t="inlineStr">
        <is>
          <t>Honeywell7810PC-6997-16-1</t>
        </is>
      </c>
      <c r="Q12" t="inlineStr">
        <is>
          <t xml:space="preserve">MAGNETICO PUERTA PASILLO CUARTO TECNICO CAJERO </t>
        </is>
      </c>
      <c r="R12" t="inlineStr">
        <is>
          <t>Honeywell</t>
        </is>
      </c>
      <c r="S12" t="n">
        <v>0</v>
      </c>
      <c r="T12" t="inlineStr">
        <is>
          <t>JUAN RODOLFO VASQUEZ ALZATE</t>
        </is>
      </c>
      <c r="U12" t="inlineStr">
        <is>
          <t>Mal manejo</t>
        </is>
      </c>
      <c r="V12" t="inlineStr">
        <is>
          <t>TRANSBANK</t>
        </is>
      </c>
      <c r="W12" t="inlineStr">
        <is>
          <t>FUNCIONARIOS</t>
        </is>
      </c>
      <c r="X12">
        <f>EXACT(TRIM(UPPER(V12)), TRIM(UPPER(W12)))</f>
        <v/>
      </c>
      <c r="Y12" t="inlineStr"/>
      <c r="Z12" t="n">
        <v>6</v>
      </c>
      <c r="AA12" t="inlineStr">
        <is>
          <t>Oportuno</t>
        </is>
      </c>
      <c r="AB12" s="1" t="n">
        <v>46205.00329861111</v>
      </c>
      <c r="AC12" s="1" t="n">
        <v>46205.00336805556</v>
      </c>
      <c r="AD12" s="1" t="n">
        <v>46205.06435185186</v>
      </c>
      <c r="AE12" t="n">
        <v>5275</v>
      </c>
      <c r="AF12" t="inlineStr">
        <is>
          <t>[2026-07-02 00:07:16] JUAN RODOLFO VASQUEZ ALZATE: [SOP:1] Validando Video ✅ [SOP:2] Enviando Reacción ✅ [SOP:3] Documentando ✅ || [2026-07-02 00:07:24] JUAN RODOLFO VASQUEZ ALZATE: FUNCIONARIOS DE OBRAS EN EL SITIO || [2026-07-02 01:32:29] JUAN RODOLFO VASQUEZ ALZATE: SE VALIDA POR VIDEO COMMAND SE OBSERVA TDV TRANSBANK EN EL SITIO    SE GENERAN MALOS MANEJOS POR NO DESARME DE PARTICION</t>
        </is>
      </c>
    </row>
    <row r="13">
      <c r="A13" t="inlineStr">
        <is>
          <t>0CF7D86D-118E-4E73-813B-DA90EB515E49</t>
        </is>
      </c>
      <c r="B13" t="inlineStr">
        <is>
          <t>0825C3AE-74CB-4CC0-867C-0E7C79C7FDE0</t>
        </is>
      </c>
      <c r="C13" t="n">
        <v>6997</v>
      </c>
      <c r="D13" t="n">
        <v>8726</v>
      </c>
      <c r="E13" t="inlineStr">
        <is>
          <t>ATM</t>
        </is>
      </c>
      <c r="F13" t="inlineStr">
        <is>
          <t>SUR</t>
        </is>
      </c>
      <c r="G13" t="inlineStr">
        <is>
          <t>VALLE DEL CAUCA</t>
        </is>
      </c>
      <c r="H13" t="inlineStr">
        <is>
          <t>CALI</t>
        </is>
      </c>
      <c r="I13" t="n">
        <v>0</v>
      </c>
      <c r="J13" t="n">
        <v>1</v>
      </c>
      <c r="K13" t="inlineStr">
        <is>
          <t>Alta</t>
        </is>
      </c>
      <c r="L13" t="inlineStr">
        <is>
          <t>WF 1047 - ZO01-Zonas 24H-ATM-AP:Disarm</t>
        </is>
      </c>
      <c r="M13" t="inlineStr">
        <is>
          <t>activación perimetral</t>
        </is>
      </c>
      <c r="N13" t="inlineStr">
        <is>
          <t>activación perimetral atm</t>
        </is>
      </c>
      <c r="O13" t="inlineStr">
        <is>
          <t>8726 8727 8728 8729 C MF HALL CALI PRINCIPAL - 6997 - AdminSUC - DIEBOLD</t>
        </is>
      </c>
      <c r="P13" t="inlineStr">
        <is>
          <t>Honeywell7810PC-6997-2-1</t>
        </is>
      </c>
      <c r="Q13" t="inlineStr">
        <is>
          <t>INFRARROJO ENTRADA HALL CAJERO</t>
        </is>
      </c>
      <c r="R13" t="inlineStr">
        <is>
          <t>Honeywell</t>
        </is>
      </c>
      <c r="S13" t="n">
        <v>0</v>
      </c>
      <c r="T13" t="inlineStr">
        <is>
          <t>JUAN RODOLFO VASQUEZ ALZATE</t>
        </is>
      </c>
      <c r="U13" t="inlineStr">
        <is>
          <t>Mal manejo</t>
        </is>
      </c>
      <c r="V13" t="inlineStr">
        <is>
          <t>TRANSBANK</t>
        </is>
      </c>
      <c r="W13" t="inlineStr">
        <is>
          <t>FUNCIONARIOS</t>
        </is>
      </c>
      <c r="X13">
        <f>EXACT(TRIM(UPPER(V13)), TRIM(UPPER(W13)))</f>
        <v/>
      </c>
      <c r="Y13" t="inlineStr"/>
      <c r="Z13" t="n">
        <v>5</v>
      </c>
      <c r="AA13" t="inlineStr">
        <is>
          <t>Oportuno</t>
        </is>
      </c>
      <c r="AB13" s="1" t="n">
        <v>46205.00351851852</v>
      </c>
      <c r="AC13" s="1" t="n">
        <v>46205.00357638889</v>
      </c>
      <c r="AD13" s="1" t="n">
        <v>46205.06435185186</v>
      </c>
      <c r="AE13" t="n">
        <v>5256</v>
      </c>
      <c r="AF13" t="inlineStr">
        <is>
          <t>[2026-07-02 00:05:34] JUAN RODOLFO VASQUEZ ALZATE: [SOP:1] Validando Video ✅ [SOP:2] Enviando Reacción ✅ [SOP:3] Documentando ✅ || [2026-07-02 00:05:38] JUAN RODOLFO VASQUEZ ALZATE: SE VALIDA POR VIDEO COMMAND SE OBSERVAN FUNCIONARIOS DE OBRAS EN EL SITIO || [2026-07-02 00:06:57] JUAN RODOLFO VASQUEZ ALZATE: FUNCIONARIOS DE OBRAS EN EL SITIO || [2026-07-02 01:32:29] JUAN RODOLFO VASQUEZ ALZATE: SE VALIDA POR VIDEO COMMAND SE OBSERVA TDV TRANSBANK EN EL SITIO    SE GENERAN MALOS MANEJOS POR NO DESARME DE PARTICION</t>
        </is>
      </c>
    </row>
    <row r="14">
      <c r="A14" t="inlineStr">
        <is>
          <t>0CF7D86D-118E-4E73-813B-DA90EB515E49</t>
        </is>
      </c>
      <c r="B14" t="inlineStr">
        <is>
          <t>9215F0DF-62AC-435C-8599-4FC8964BC185</t>
        </is>
      </c>
      <c r="C14" t="n">
        <v>6997</v>
      </c>
      <c r="D14" t="n">
        <v>8726</v>
      </c>
      <c r="E14" t="inlineStr">
        <is>
          <t>ATM</t>
        </is>
      </c>
      <c r="F14" t="inlineStr">
        <is>
          <t>SUR</t>
        </is>
      </c>
      <c r="G14" t="inlineStr">
        <is>
          <t>VALLE DEL CAUCA</t>
        </is>
      </c>
      <c r="H14" t="inlineStr">
        <is>
          <t>CALI</t>
        </is>
      </c>
      <c r="I14" t="n">
        <v>0</v>
      </c>
      <c r="J14" t="n">
        <v>1</v>
      </c>
      <c r="K14" t="inlineStr">
        <is>
          <t>Alta</t>
        </is>
      </c>
      <c r="L14" t="inlineStr">
        <is>
          <t>WF 1047 - ZO01-Zonas 24H-ATM-AP:Disarm</t>
        </is>
      </c>
      <c r="M14" t="inlineStr">
        <is>
          <t>activación perimetral</t>
        </is>
      </c>
      <c r="N14" t="inlineStr">
        <is>
          <t>activación perimetral atm</t>
        </is>
      </c>
      <c r="O14" t="inlineStr">
        <is>
          <t>8726 8727 8728 8729 C MF HALL CALI PRINCIPAL - 6997 - AdminSUC - DIEBOLD</t>
        </is>
      </c>
      <c r="P14" t="inlineStr">
        <is>
          <t>Honeywell7810PC-6997-12-1</t>
        </is>
      </c>
      <c r="Q14" t="inlineStr">
        <is>
          <t>INFRARROJO PASILLO ATRAS CAJERO</t>
        </is>
      </c>
      <c r="R14" t="inlineStr">
        <is>
          <t>Honeywell</t>
        </is>
      </c>
      <c r="S14" t="n">
        <v>0</v>
      </c>
      <c r="T14" t="inlineStr">
        <is>
          <t>JUAN RODOLFO VASQUEZ ALZATE</t>
        </is>
      </c>
      <c r="U14" t="inlineStr">
        <is>
          <t>Mal manejo</t>
        </is>
      </c>
      <c r="V14" t="inlineStr">
        <is>
          <t>TRANSBANK</t>
        </is>
      </c>
      <c r="W14" t="inlineStr">
        <is>
          <t>FUNCIONARIOS</t>
        </is>
      </c>
      <c r="X14">
        <f>EXACT(TRIM(UPPER(V14)), TRIM(UPPER(W14)))</f>
        <v/>
      </c>
      <c r="Y14" t="inlineStr"/>
      <c r="Z14" t="n">
        <v>6</v>
      </c>
      <c r="AA14" t="inlineStr">
        <is>
          <t>Oportuno</t>
        </is>
      </c>
      <c r="AB14" s="1" t="n">
        <v>46205.00357638889</v>
      </c>
      <c r="AC14" s="1" t="n">
        <v>46205.00364583333</v>
      </c>
      <c r="AD14" s="1" t="n">
        <v>46205.06435185186</v>
      </c>
      <c r="AE14" t="n">
        <v>5251</v>
      </c>
      <c r="AF14" t="inlineStr">
        <is>
          <t>[2026-07-02 00:06:57] JUAN RODOLFO VASQUEZ ALZATE: FUNCIONARIOS DE OBRAS EN EL SITIO || [2026-07-02 01:32:29] JUAN RODOLFO VASQUEZ ALZATE: SE VALIDA POR VIDEO COMMAND SE OBSERVA TDV TRANSBANK EN EL SITIO    SE GENERAN MALOS MANEJOS POR NO DESARME DE PARTICION</t>
        </is>
      </c>
    </row>
    <row r="15">
      <c r="A15" t="inlineStr">
        <is>
          <t>0CF7D86D-118E-4E73-813B-DA90EB515E49</t>
        </is>
      </c>
      <c r="B15" t="inlineStr">
        <is>
          <t>55CDBADD-FB23-4E6F-808F-30520080D01B</t>
        </is>
      </c>
      <c r="C15" t="n">
        <v>6997</v>
      </c>
      <c r="D15" t="n">
        <v>8726</v>
      </c>
      <c r="E15" t="inlineStr">
        <is>
          <t>ATM</t>
        </is>
      </c>
      <c r="F15" t="inlineStr">
        <is>
          <t>SUR</t>
        </is>
      </c>
      <c r="G15" t="inlineStr">
        <is>
          <t>VALLE DEL CAUCA</t>
        </is>
      </c>
      <c r="H15" t="inlineStr">
        <is>
          <t>CALI</t>
        </is>
      </c>
      <c r="I15" t="n">
        <v>0</v>
      </c>
      <c r="J15" t="n">
        <v>1</v>
      </c>
      <c r="K15" t="inlineStr">
        <is>
          <t>Alta</t>
        </is>
      </c>
      <c r="L15" t="inlineStr">
        <is>
          <t>WF 1047 - ZO01-Zonas 24H-ATM-AP:Disarm</t>
        </is>
      </c>
      <c r="M15" t="inlineStr">
        <is>
          <t>activación perimetral</t>
        </is>
      </c>
      <c r="N15" t="inlineStr">
        <is>
          <t>activación perimetral atm</t>
        </is>
      </c>
      <c r="O15" t="inlineStr">
        <is>
          <t>8726 8727 8728 8729 C MF HALL CALI PRINCIPAL - 6997 - AdminSUC - DIEBOLD</t>
        </is>
      </c>
      <c r="P15" t="inlineStr">
        <is>
          <t>Honeywell7810PC-6997-4-1</t>
        </is>
      </c>
      <c r="Q15" t="inlineStr">
        <is>
          <t>INFRARROJO CUARTO AREA COMUN CAJERO</t>
        </is>
      </c>
      <c r="R15" t="inlineStr">
        <is>
          <t>Honeywell</t>
        </is>
      </c>
      <c r="S15" t="n">
        <v>0</v>
      </c>
      <c r="T15" t="inlineStr">
        <is>
          <t>JUAN RODOLFO VASQUEZ ALZATE</t>
        </is>
      </c>
      <c r="U15" t="inlineStr">
        <is>
          <t>Mal manejo</t>
        </is>
      </c>
      <c r="V15" t="inlineStr">
        <is>
          <t>TRANSBANK</t>
        </is>
      </c>
      <c r="W15" t="inlineStr">
        <is>
          <t>FUNCIONARIOS</t>
        </is>
      </c>
      <c r="X15">
        <f>EXACT(TRIM(UPPER(V15)), TRIM(UPPER(W15)))</f>
        <v/>
      </c>
      <c r="Y15" t="inlineStr"/>
      <c r="Z15" t="n">
        <v>5</v>
      </c>
      <c r="AA15" t="inlineStr">
        <is>
          <t>Oportuno</t>
        </is>
      </c>
      <c r="AB15" s="1" t="n">
        <v>46205.00358796296</v>
      </c>
      <c r="AC15" s="1" t="n">
        <v>46205.00364583333</v>
      </c>
      <c r="AD15" s="1" t="n">
        <v>46205.06435185186</v>
      </c>
      <c r="AE15" t="n">
        <v>5250</v>
      </c>
      <c r="AF15" t="inlineStr">
        <is>
          <t>[2026-07-02 00:06:57] JUAN RODOLFO VASQUEZ ALZATE: FUNCIONARIOS DE OBRAS EN EL SITIO || [2026-07-02 01:32:29] JUAN RODOLFO VASQUEZ ALZATE: SE VALIDA POR VIDEO COMMAND SE OBSERVA TDV TRANSBANK EN EL SITIO    SE GENERAN MALOS MANEJOS POR NO DESARME DE PARTICION</t>
        </is>
      </c>
    </row>
    <row r="16">
      <c r="A16" t="inlineStr">
        <is>
          <t>0CF7D86D-118E-4E73-813B-DA90EB515E49</t>
        </is>
      </c>
      <c r="B16" t="inlineStr">
        <is>
          <t>395B23B6-AD7D-4565-A9CE-5AFB32AF8C73</t>
        </is>
      </c>
      <c r="C16" t="n">
        <v>6997</v>
      </c>
      <c r="D16" t="n">
        <v>8726</v>
      </c>
      <c r="E16" t="inlineStr">
        <is>
          <t>ATM</t>
        </is>
      </c>
      <c r="F16" t="inlineStr">
        <is>
          <t>SUR</t>
        </is>
      </c>
      <c r="G16" t="inlineStr">
        <is>
          <t>VALLE DEL CAUCA</t>
        </is>
      </c>
      <c r="H16" t="inlineStr">
        <is>
          <t>CALI</t>
        </is>
      </c>
      <c r="I16" t="n">
        <v>0</v>
      </c>
      <c r="J16" t="n">
        <v>1</v>
      </c>
      <c r="K16" t="inlineStr">
        <is>
          <t>Alta</t>
        </is>
      </c>
      <c r="L16" t="inlineStr">
        <is>
          <t>WF 1047 - ZO01-Zonas 24H-ATM-AP:Disarm</t>
        </is>
      </c>
      <c r="M16" t="inlineStr">
        <is>
          <t>activación perimetral</t>
        </is>
      </c>
      <c r="N16" t="inlineStr">
        <is>
          <t>activación perimetral atm</t>
        </is>
      </c>
      <c r="O16" t="inlineStr">
        <is>
          <t>8726 8727 8728 8729 C MF HALL CALI PRINCIPAL - 6997 - AdminSUC - DIEBOLD</t>
        </is>
      </c>
      <c r="P16" t="inlineStr">
        <is>
          <t>Honeywell7810PC-6997-9-1</t>
        </is>
      </c>
      <c r="Q16" t="inlineStr">
        <is>
          <t xml:space="preserve">MAGNETICO PUERTA SALIDA EMERGENCIA 1 CAJERO </t>
        </is>
      </c>
      <c r="R16" t="inlineStr">
        <is>
          <t>Honeywell</t>
        </is>
      </c>
      <c r="S16" t="n">
        <v>0</v>
      </c>
      <c r="T16" t="inlineStr">
        <is>
          <t>JUAN RODOLFO VASQUEZ ALZATE</t>
        </is>
      </c>
      <c r="U16" t="inlineStr">
        <is>
          <t>Mal manejo</t>
        </is>
      </c>
      <c r="V16" t="inlineStr">
        <is>
          <t>TRANSBANK</t>
        </is>
      </c>
      <c r="W16" t="inlineStr">
        <is>
          <t>FUNCIONARIOS</t>
        </is>
      </c>
      <c r="X16">
        <f>EXACT(TRIM(UPPER(V16)), TRIM(UPPER(W16)))</f>
        <v/>
      </c>
      <c r="Y16" t="inlineStr"/>
      <c r="Z16" t="n">
        <v>5</v>
      </c>
      <c r="AA16" t="inlineStr">
        <is>
          <t>Oportuno</t>
        </is>
      </c>
      <c r="AB16" s="1" t="n">
        <v>46205.00359953703</v>
      </c>
      <c r="AC16" s="1" t="n">
        <v>46205.0036574074</v>
      </c>
      <c r="AD16" s="1" t="n">
        <v>46205.06435185186</v>
      </c>
      <c r="AE16" t="n">
        <v>5249</v>
      </c>
      <c r="AF16" t="inlineStr">
        <is>
          <t>[2026-07-02 00:06:57] JUAN RODOLFO VASQUEZ ALZATE: FUNCIONARIOS DE OBRAS EN EL SITIO || [2026-07-02 01:32:29] JUAN RODOLFO VASQUEZ ALZATE: SE VALIDA POR VIDEO COMMAND SE OBSERVA TDV TRANSBANK EN EL SITIO    SE GENERAN MALOS MANEJOS POR NO DESARME DE PARTICION</t>
        </is>
      </c>
    </row>
    <row r="17">
      <c r="A17" t="inlineStr">
        <is>
          <t>0CF7D86D-118E-4E73-813B-DA90EB515E49</t>
        </is>
      </c>
      <c r="B17" t="inlineStr">
        <is>
          <t>C778A9A5-5563-4BD4-A8D6-9841322F6AA3</t>
        </is>
      </c>
      <c r="C17" t="n">
        <v>6997</v>
      </c>
      <c r="D17" t="n">
        <v>8726</v>
      </c>
      <c r="E17" t="inlineStr">
        <is>
          <t>ATM</t>
        </is>
      </c>
      <c r="F17" t="inlineStr">
        <is>
          <t>SUR</t>
        </is>
      </c>
      <c r="G17" t="inlineStr">
        <is>
          <t>VALLE DEL CAUCA</t>
        </is>
      </c>
      <c r="H17" t="inlineStr">
        <is>
          <t>CALI</t>
        </is>
      </c>
      <c r="I17" t="n">
        <v>0</v>
      </c>
      <c r="J17" t="n">
        <v>1</v>
      </c>
      <c r="K17" t="inlineStr">
        <is>
          <t>Alta</t>
        </is>
      </c>
      <c r="L17" t="inlineStr">
        <is>
          <t>WF 1047 - ZO01-Zonas 24H-ATM-AP:Disarm</t>
        </is>
      </c>
      <c r="M17" t="inlineStr">
        <is>
          <t>activación perimetral</t>
        </is>
      </c>
      <c r="N17" t="inlineStr">
        <is>
          <t>activación perimetral atm</t>
        </is>
      </c>
      <c r="O17" t="inlineStr">
        <is>
          <t>8726 8727 8728 8729 C MF HALL CALI PRINCIPAL - 6997 - AdminSUC - DIEBOLD</t>
        </is>
      </c>
      <c r="P17" t="inlineStr">
        <is>
          <t>Honeywell7810PC-6997-6-1</t>
        </is>
      </c>
      <c r="Q17" t="inlineStr">
        <is>
          <t>INFRARROJO PASILLO SALIDA DE EMERGECIA 1 CAJERO</t>
        </is>
      </c>
      <c r="R17" t="inlineStr">
        <is>
          <t>Honeywell</t>
        </is>
      </c>
      <c r="S17" t="n">
        <v>0</v>
      </c>
      <c r="T17" t="inlineStr">
        <is>
          <t>JUAN RODOLFO VASQUEZ ALZATE</t>
        </is>
      </c>
      <c r="U17" t="inlineStr">
        <is>
          <t>Mal manejo</t>
        </is>
      </c>
      <c r="V17" t="inlineStr">
        <is>
          <t>TRANSBANK</t>
        </is>
      </c>
      <c r="W17" t="inlineStr">
        <is>
          <t>FUNCIONARIOS</t>
        </is>
      </c>
      <c r="X17">
        <f>EXACT(TRIM(UPPER(V17)), TRIM(UPPER(W17)))</f>
        <v/>
      </c>
      <c r="Y17" t="inlineStr"/>
      <c r="Z17" t="n">
        <v>7</v>
      </c>
      <c r="AA17" t="inlineStr">
        <is>
          <t>Oportuno</t>
        </is>
      </c>
      <c r="AB17" s="1" t="n">
        <v>46205.0037037037</v>
      </c>
      <c r="AC17" s="1" t="n">
        <v>46205.00378472222</v>
      </c>
      <c r="AD17" s="1" t="n">
        <v>46205.06435185186</v>
      </c>
      <c r="AE17" t="n">
        <v>5240</v>
      </c>
      <c r="AF17" t="inlineStr">
        <is>
          <t>[2026-07-02 00:06:57] JUAN RODOLFO VASQUEZ ALZATE: FUNCIONARIOS DE OBRAS EN EL SITIO || [2026-07-02 01:32:29] JUAN RODOLFO VASQUEZ ALZATE: SE VALIDA POR VIDEO COMMAND SE OBSERVA TDV TRANSBANK EN EL SITIO    SE GENERAN MALOS MANEJOS POR NO DESARME DE PARTICION</t>
        </is>
      </c>
    </row>
    <row r="18">
      <c r="A18" t="inlineStr">
        <is>
          <t>47CB88CB-13C7-4ADC-A6B5-C6AA3ADBA1D4</t>
        </is>
      </c>
      <c r="B18" t="inlineStr">
        <is>
          <t>9D9CFC5D-06C5-476E-AC1D-BFC570DFF73B</t>
        </is>
      </c>
      <c r="C18" t="n">
        <v>8240</v>
      </c>
      <c r="D18" t="n">
        <v>4316</v>
      </c>
      <c r="E18" t="inlineStr">
        <is>
          <t>ATM</t>
        </is>
      </c>
      <c r="F18" t="inlineStr">
        <is>
          <t>BOG Y SABANA</t>
        </is>
      </c>
      <c r="G18" t="inlineStr">
        <is>
          <t>CUNDINAMARCA</t>
        </is>
      </c>
      <c r="H18" t="inlineStr">
        <is>
          <t>BOGOTÁ, D.C.</t>
        </is>
      </c>
      <c r="I18" t="n">
        <v>1</v>
      </c>
      <c r="J18" t="n">
        <v>1</v>
      </c>
      <c r="K18" t="inlineStr">
        <is>
          <t>Alta</t>
        </is>
      </c>
      <c r="L18" t="inlineStr">
        <is>
          <t>WF 1047 - ZO01-Zonas 24H-ATM-AP:Disarm</t>
        </is>
      </c>
      <c r="M18" t="inlineStr">
        <is>
          <t>activación perimetral</t>
        </is>
      </c>
      <c r="N18" t="inlineStr">
        <is>
          <t>activación perimetral atm</t>
        </is>
      </c>
      <c r="O18" t="inlineStr">
        <is>
          <t>4316 C LA GRAN FERIA CAMPESINA - 8240 - TBS - DIEBOLD</t>
        </is>
      </c>
      <c r="P18" t="inlineStr">
        <is>
          <t>SGIII-8240-4-2</t>
        </is>
      </c>
      <c r="Q18" t="inlineStr">
        <is>
          <t>MICROSUICHE FASCIA SUPERIOR CAJERO</t>
        </is>
      </c>
      <c r="R18" t="inlineStr">
        <is>
          <t>SGIII</t>
        </is>
      </c>
      <c r="S18" t="n">
        <v>0</v>
      </c>
      <c r="T18" t="inlineStr">
        <is>
          <t>Jhon Fredy Ocampo Yepez</t>
        </is>
      </c>
      <c r="U18" t="inlineStr">
        <is>
          <t>Mal manejo</t>
        </is>
      </c>
      <c r="V18" t="inlineStr">
        <is>
          <t>DIEBOLD</t>
        </is>
      </c>
      <c r="W18" t="inlineStr"/>
      <c r="X18">
        <f>EXACT(TRIM(UPPER(V18)), TRIM(UPPER(W18)))</f>
        <v/>
      </c>
      <c r="Y18" t="inlineStr"/>
      <c r="Z18" t="n">
        <v>8</v>
      </c>
      <c r="AA18" t="inlineStr">
        <is>
          <t>Oportuno</t>
        </is>
      </c>
      <c r="AB18" s="1" t="n">
        <v>46205.48380787037</v>
      </c>
      <c r="AC18" s="1" t="n">
        <v>46205.48390046296</v>
      </c>
      <c r="AD18" s="1" t="n">
        <v>46205.55003472222</v>
      </c>
      <c r="AE18" t="n">
        <v>5722</v>
      </c>
      <c r="AF18" t="inlineStr">
        <is>
          <t>[2026-07-02 11:36:57] Jhon Fredy Ocampo Yepez: [SOP:1] Validando Video ✅ [SOP:2] Enviando Reacción ✅ [SOP:3] Documentando ✅ || [2026-07-02 13:11:01] Jhon Fredy Ocampo Yepez: Se verifica por video COMMAND , Todas las cámaras en tiempo real, se observa el SITIO en aparente normalidad y sin afectación alguna Se observa personal TECNICO DE DIEBOLD en el sitio || [2026-07-02 13:11:12] Jhon Fredy Ocampo Yepez: Mal manejo por desarme inoportuno</t>
        </is>
      </c>
    </row>
    <row r="19">
      <c r="A19" t="inlineStr">
        <is>
          <t>A8EC36AD-F179-46AC-8B2F-25BC1679025B</t>
        </is>
      </c>
      <c r="B19" t="inlineStr">
        <is>
          <t>6B863118-F72D-4C86-A2D9-B5FA147CFC28</t>
        </is>
      </c>
      <c r="C19" t="n">
        <v>9018</v>
      </c>
      <c r="D19" t="n">
        <v>2144</v>
      </c>
      <c r="E19" t="inlineStr">
        <is>
          <t>ATM</t>
        </is>
      </c>
      <c r="F19" t="inlineStr">
        <is>
          <t>SUR</t>
        </is>
      </c>
      <c r="G19" t="inlineStr">
        <is>
          <t>NARIÑO</t>
        </is>
      </c>
      <c r="H19" t="inlineStr">
        <is>
          <t>PASTO</t>
        </is>
      </c>
      <c r="I19" t="n">
        <v>1</v>
      </c>
      <c r="J19" t="n">
        <v>1</v>
      </c>
      <c r="K19" t="inlineStr">
        <is>
          <t>Alta</t>
        </is>
      </c>
      <c r="L19" t="inlineStr">
        <is>
          <t>WF 1047 - ZO01-Zonas 24H-ATM-AP:Disarm</t>
        </is>
      </c>
      <c r="M19" t="inlineStr">
        <is>
          <t>activación perimetral</t>
        </is>
      </c>
      <c r="N19" t="inlineStr">
        <is>
          <t>activación perimetral atm</t>
        </is>
      </c>
      <c r="O19" t="inlineStr">
        <is>
          <t>2144 4878 6895 C AVENIDA LOS ESTUDIANTES - 9018 - BK - DIEBOLD - NCR</t>
        </is>
      </c>
      <c r="P19" t="inlineStr">
        <is>
          <t>SGIII-9018-15-3</t>
        </is>
      </c>
      <c r="Q19" t="inlineStr">
        <is>
          <t>MICROSUICH TAPA TECLADO CAJERO</t>
        </is>
      </c>
      <c r="R19" t="inlineStr">
        <is>
          <t>SGIII</t>
        </is>
      </c>
      <c r="S19" t="n">
        <v>0</v>
      </c>
      <c r="T19" t="inlineStr">
        <is>
          <t>Laura Valentina Restrepo Jaramillo</t>
        </is>
      </c>
      <c r="U19" t="inlineStr">
        <is>
          <t>Mal manejo</t>
        </is>
      </c>
      <c r="V19" t="inlineStr">
        <is>
          <t>VATCO</t>
        </is>
      </c>
      <c r="W19" t="inlineStr">
        <is>
          <t>BRINKS</t>
        </is>
      </c>
      <c r="X19">
        <f>EXACT(TRIM(UPPER(V19)), TRIM(UPPER(W19)))</f>
        <v/>
      </c>
      <c r="Y19" t="inlineStr"/>
      <c r="Z19" t="n">
        <v>6</v>
      </c>
      <c r="AA19" t="inlineStr">
        <is>
          <t>Oportuno</t>
        </is>
      </c>
      <c r="AB19" s="1" t="n">
        <v>46205.58280092593</v>
      </c>
      <c r="AC19" s="1" t="n">
        <v>46205.58287037037</v>
      </c>
      <c r="AD19" s="1" t="n">
        <v>46205.73596064815</v>
      </c>
      <c r="AE19" t="n">
        <v>13233</v>
      </c>
      <c r="AF19" t="inlineStr">
        <is>
          <t>[2026-07-02 13:59:26] Laura Valentina Restrepo Jaramillo: [SOP:1] Validando Video ✅ [SOP:2] Enviando Reacción ✅ [SOP:3] Documentando ✅ || [2026-07-02 13:59:37] Laura Valentina Restrepo Jaramillo: ¡Enviando reacción correspondiente!  GAM -POLICIA  No carga video || [2026-07-02 14:19:51] Laura Valentina Restrepo Jaramillo: Se verifica por video cámara relacionada en tiempo real, TDV en el punto en aparente normalidad vatco || [2026-07-02 14:19:56] Laura Valentina Restrepo Jaramillo: Activación generada por desarme inoportuno</t>
        </is>
      </c>
    </row>
    <row r="20">
      <c r="A20" t="inlineStr">
        <is>
          <t>9DD6EA01-B5FD-494A-A04F-9A477C0544A0</t>
        </is>
      </c>
      <c r="B20" t="inlineStr">
        <is>
          <t>48D3E849-B16A-4966-A04F-8DDD7A2FF193</t>
        </is>
      </c>
      <c r="C20" t="n">
        <v>8921</v>
      </c>
      <c r="D20" t="n">
        <v>7469</v>
      </c>
      <c r="E20" t="inlineStr">
        <is>
          <t>ATM</t>
        </is>
      </c>
      <c r="F20" t="inlineStr">
        <is>
          <t>CENTRO</t>
        </is>
      </c>
      <c r="G20" t="inlineStr">
        <is>
          <t>META</t>
        </is>
      </c>
      <c r="H20" t="inlineStr">
        <is>
          <t>VILLAVICENCIO</t>
        </is>
      </c>
      <c r="I20" t="n">
        <v>1</v>
      </c>
      <c r="J20" t="n">
        <v>1</v>
      </c>
      <c r="K20" t="inlineStr">
        <is>
          <t>Alta</t>
        </is>
      </c>
      <c r="L20" t="inlineStr">
        <is>
          <t>WF 1055 - ZO09-Zonas 24H-Tamper y Antimascara AP:A</t>
        </is>
      </c>
      <c r="M20" t="inlineStr">
        <is>
          <t>activación tamper y antimascara</t>
        </is>
      </c>
      <c r="N20" t="inlineStr">
        <is>
          <t>activación tamper y antimascara</t>
        </is>
      </c>
      <c r="O20" t="inlineStr">
        <is>
          <t>7469 4806 4807 C TOCORAGUA - 8921 - TBS - NCR</t>
        </is>
      </c>
      <c r="P20" t="inlineStr">
        <is>
          <t>SGIII-8921-8-1</t>
        </is>
      </c>
      <c r="Q20" t="inlineStr">
        <is>
          <t xml:space="preserve">TAMPER CENTRAL ALARMA CAJERO </t>
        </is>
      </c>
      <c r="R20" t="inlineStr">
        <is>
          <t>SGIII</t>
        </is>
      </c>
      <c r="S20" t="n">
        <v>0</v>
      </c>
      <c r="T20" t="inlineStr">
        <is>
          <t>Neidy Martínez</t>
        </is>
      </c>
      <c r="U20" t="inlineStr">
        <is>
          <t>Mal manejo</t>
        </is>
      </c>
      <c r="V20" t="inlineStr">
        <is>
          <t>DIEBOLD</t>
        </is>
      </c>
      <c r="W20" t="inlineStr">
        <is>
          <t>NCR</t>
        </is>
      </c>
      <c r="X20">
        <f>EXACT(TRIM(UPPER(V20)), TRIM(UPPER(W20)))</f>
        <v/>
      </c>
      <c r="Y20" t="inlineStr"/>
      <c r="Z20" t="n">
        <v>5</v>
      </c>
      <c r="AA20" t="inlineStr">
        <is>
          <t>Oportuno</t>
        </is>
      </c>
      <c r="AB20" s="1" t="n">
        <v>46205.598125</v>
      </c>
      <c r="AC20" s="1" t="n">
        <v>46205.59818287037</v>
      </c>
      <c r="AD20" s="1" t="n">
        <v>46205.77240740741</v>
      </c>
      <c r="AE20" t="n">
        <v>15058</v>
      </c>
      <c r="AF20" t="inlineStr">
        <is>
          <t>[2026-07-02 14:21:30] Neidy Martínez: [SOP:1] Validando Video ✅ [SOP:2] Enviando Reacción ✅ [SOP:3] Documentando ✅ || [2026-07-02 14:22:37] Neidy Martínez: Se valida por video command se observa USUARIO realizando transacción en el momento de la activación || [2026-07-02 14:23:05] Neidy Martínez: desarme de técnicos DIEBOLD en el sitio   Mal manejo, personal no realizan bypass de la zona de forma oportuna</t>
        </is>
      </c>
    </row>
    <row r="21">
      <c r="A21" t="inlineStr">
        <is>
          <t>66A1721F-9685-4A67-A14C-83CC3713A7D9</t>
        </is>
      </c>
      <c r="B21" t="inlineStr">
        <is>
          <t>D6D8DED2-9361-4132-B641-690F14368B77</t>
        </is>
      </c>
      <c r="C21" t="n">
        <v>8921</v>
      </c>
      <c r="D21" t="n">
        <v>7469</v>
      </c>
      <c r="E21" t="inlineStr">
        <is>
          <t>ATM</t>
        </is>
      </c>
      <c r="F21" t="inlineStr">
        <is>
          <t>CENTRO</t>
        </is>
      </c>
      <c r="G21" t="inlineStr">
        <is>
          <t>META</t>
        </is>
      </c>
      <c r="H21" t="inlineStr">
        <is>
          <t>VILLAVICENCIO</t>
        </is>
      </c>
      <c r="I21" t="n">
        <v>1</v>
      </c>
      <c r="J21" t="n">
        <v>1</v>
      </c>
      <c r="K21" t="inlineStr">
        <is>
          <t>Alta</t>
        </is>
      </c>
      <c r="L21" t="inlineStr">
        <is>
          <t>WF 1047 - ZO01-Zonas 24H-ATM-AP:Disarm</t>
        </is>
      </c>
      <c r="M21" t="inlineStr">
        <is>
          <t>activación perimetral</t>
        </is>
      </c>
      <c r="N21" t="inlineStr">
        <is>
          <t>activación perimetral atm</t>
        </is>
      </c>
      <c r="O21" t="inlineStr">
        <is>
          <t>7469 4806 4807 C TOCORAGUA - 8921 - TBS - NCR</t>
        </is>
      </c>
      <c r="P21" t="inlineStr">
        <is>
          <t>SGIII-8921-2-1</t>
        </is>
      </c>
      <c r="Q21" t="inlineStr">
        <is>
          <t xml:space="preserve">MAGNETICO CUARTO CAJEROS </t>
        </is>
      </c>
      <c r="R21" t="inlineStr">
        <is>
          <t>SGIII</t>
        </is>
      </c>
      <c r="S21" t="n">
        <v>0</v>
      </c>
      <c r="T21" t="inlineStr">
        <is>
          <t>Adier Cuitiva Mayo</t>
        </is>
      </c>
      <c r="U21" t="inlineStr">
        <is>
          <t>Mal manejo</t>
        </is>
      </c>
      <c r="V21" t="inlineStr">
        <is>
          <t>VATCO</t>
        </is>
      </c>
      <c r="W21" t="inlineStr">
        <is>
          <t>TRANSBANK</t>
        </is>
      </c>
      <c r="X21">
        <f>EXACT(TRIM(UPPER(V21)), TRIM(UPPER(W21)))</f>
        <v/>
      </c>
      <c r="Y21" t="inlineStr"/>
      <c r="Z21" t="n">
        <v>6</v>
      </c>
      <c r="AA21" t="inlineStr">
        <is>
          <t>Oportuno</t>
        </is>
      </c>
      <c r="AB21" s="1" t="n">
        <v>46205.60173611111</v>
      </c>
      <c r="AC21" s="1" t="n">
        <v>46205.60180555555</v>
      </c>
      <c r="AD21" s="1" t="n">
        <v>46205.62008101852</v>
      </c>
      <c r="AE21" t="n">
        <v>1585</v>
      </c>
      <c r="AF21" t="inlineStr">
        <is>
          <t>[2026-07-02 14:26:40] Adier Cuitiva Mayo: [SOP:1] Validando Video ✅ [SOP:2] Enviando Reacción ✅ [SOP:3] Documentando ✅ || [2026-07-02 14:36:04] Adier Cuitiva Mayo: Se verifica por video cámara relacionada en tiempo real, TECNICO en aparente normalidad</t>
        </is>
      </c>
    </row>
    <row r="22">
      <c r="A22" t="inlineStr">
        <is>
          <t>66A1721F-9685-4A67-A14C-83CC3713A7D9</t>
        </is>
      </c>
      <c r="B22" t="inlineStr">
        <is>
          <t>DF3BDEFB-CDE3-492F-B007-6FCDFABE1CFB</t>
        </is>
      </c>
      <c r="C22" t="n">
        <v>8921</v>
      </c>
      <c r="D22" t="n">
        <v>7469</v>
      </c>
      <c r="E22" t="inlineStr">
        <is>
          <t>ATM</t>
        </is>
      </c>
      <c r="F22" t="inlineStr">
        <is>
          <t>CENTRO</t>
        </is>
      </c>
      <c r="G22" t="inlineStr">
        <is>
          <t>META</t>
        </is>
      </c>
      <c r="H22" t="inlineStr">
        <is>
          <t>VILLAVICENCIO</t>
        </is>
      </c>
      <c r="I22" t="n">
        <v>0</v>
      </c>
      <c r="J22" t="n">
        <v>1</v>
      </c>
      <c r="K22" t="inlineStr">
        <is>
          <t>Alta</t>
        </is>
      </c>
      <c r="L22" t="inlineStr">
        <is>
          <t>WF 1055 - ZO09-Zonas 24H-Tamper y Antimascara AP:A</t>
        </is>
      </c>
      <c r="M22" t="inlineStr">
        <is>
          <t>activación tamper y antimascara</t>
        </is>
      </c>
      <c r="N22" t="inlineStr">
        <is>
          <t>activación tamper y antimascara</t>
        </is>
      </c>
      <c r="O22" t="inlineStr">
        <is>
          <t>7469 4806 4807 C TOCORAGUA - 8921 - TBS - NCR</t>
        </is>
      </c>
      <c r="P22" t="inlineStr">
        <is>
          <t>SGIII-8921-6-1</t>
        </is>
      </c>
      <c r="Q22" t="inlineStr">
        <is>
          <t xml:space="preserve">TAMPER SISMICO CUARTO CAJEROS </t>
        </is>
      </c>
      <c r="R22" t="inlineStr">
        <is>
          <t>SGIII</t>
        </is>
      </c>
      <c r="S22" t="n">
        <v>0</v>
      </c>
      <c r="T22" t="inlineStr">
        <is>
          <t>Adier Cuitiva Mayo</t>
        </is>
      </c>
      <c r="U22" t="inlineStr">
        <is>
          <t>Mal manejo</t>
        </is>
      </c>
      <c r="V22" t="inlineStr">
        <is>
          <t>VATCO</t>
        </is>
      </c>
      <c r="W22" t="inlineStr">
        <is>
          <t>TRANSBANK</t>
        </is>
      </c>
      <c r="X22">
        <f>EXACT(TRIM(UPPER(V22)), TRIM(UPPER(W22)))</f>
        <v/>
      </c>
      <c r="Y22" t="inlineStr"/>
      <c r="Z22" t="n">
        <v>3</v>
      </c>
      <c r="AA22" t="inlineStr">
        <is>
          <t>Oportuno</t>
        </is>
      </c>
      <c r="AB22" s="1" t="n">
        <v>46205.60268518519</v>
      </c>
      <c r="AC22" s="1" t="n">
        <v>46205.60271990741</v>
      </c>
      <c r="AD22" s="1" t="n">
        <v>46205.62008101852</v>
      </c>
      <c r="AE22" t="n">
        <v>1503</v>
      </c>
      <c r="AF22" t="inlineStr"/>
    </row>
    <row r="23">
      <c r="A23" t="inlineStr">
        <is>
          <t>66A1721F-9685-4A67-A14C-83CC3713A7D9</t>
        </is>
      </c>
      <c r="B23" t="inlineStr">
        <is>
          <t>E89171C5-A464-4CE6-A483-0B947C6A1147</t>
        </is>
      </c>
      <c r="C23" t="n">
        <v>8921</v>
      </c>
      <c r="D23" t="n">
        <v>7469</v>
      </c>
      <c r="E23" t="inlineStr">
        <is>
          <t>ATM</t>
        </is>
      </c>
      <c r="F23" t="inlineStr">
        <is>
          <t>CENTRO</t>
        </is>
      </c>
      <c r="G23" t="inlineStr">
        <is>
          <t>META</t>
        </is>
      </c>
      <c r="H23" t="inlineStr">
        <is>
          <t>VILLAVICENCIO</t>
        </is>
      </c>
      <c r="I23" t="n">
        <v>0</v>
      </c>
      <c r="J23" t="n">
        <v>1</v>
      </c>
      <c r="K23" t="inlineStr">
        <is>
          <t>Alta</t>
        </is>
      </c>
      <c r="L23" t="inlineStr">
        <is>
          <t>WF 1047 - ZO01-Zonas 24H-ATM-AP:Disarm</t>
        </is>
      </c>
      <c r="M23" t="inlineStr">
        <is>
          <t>activación perimetral</t>
        </is>
      </c>
      <c r="N23" t="inlineStr">
        <is>
          <t>activación perimetral atm</t>
        </is>
      </c>
      <c r="O23" t="inlineStr">
        <is>
          <t>7469 4806 4807 C TOCORAGUA - 8921 - TBS - NCR</t>
        </is>
      </c>
      <c r="P23" t="inlineStr">
        <is>
          <t>SGIII-8921-3-1</t>
        </is>
      </c>
      <c r="Q23" t="inlineStr">
        <is>
          <t>INFRARROJO CUARTO CAJERO</t>
        </is>
      </c>
      <c r="R23" t="inlineStr">
        <is>
          <t>SGIII</t>
        </is>
      </c>
      <c r="S23" t="n">
        <v>0</v>
      </c>
      <c r="T23" t="inlineStr">
        <is>
          <t>Adier Cuitiva Mayo</t>
        </is>
      </c>
      <c r="U23" t="inlineStr">
        <is>
          <t>Mal manejo</t>
        </is>
      </c>
      <c r="V23" t="inlineStr">
        <is>
          <t>VATCO</t>
        </is>
      </c>
      <c r="W23" t="inlineStr">
        <is>
          <t>TRANSBANK</t>
        </is>
      </c>
      <c r="X23">
        <f>EXACT(TRIM(UPPER(V23)), TRIM(UPPER(W23)))</f>
        <v/>
      </c>
      <c r="Y23" t="inlineStr"/>
      <c r="Z23" t="n">
        <v>2</v>
      </c>
      <c r="AA23" t="inlineStr">
        <is>
          <t>Oportuno</t>
        </is>
      </c>
      <c r="AB23" s="1" t="n">
        <v>46205.60274305556</v>
      </c>
      <c r="AC23" s="1" t="n">
        <v>46205.6027662037</v>
      </c>
      <c r="AD23" s="1" t="n">
        <v>46205.62008101852</v>
      </c>
      <c r="AE23" t="n">
        <v>1498</v>
      </c>
      <c r="AF23" t="inlineStr"/>
    </row>
    <row r="24">
      <c r="A24" t="inlineStr">
        <is>
          <t>66A1721F-9685-4A67-A14C-83CC3713A7D9</t>
        </is>
      </c>
      <c r="B24" t="inlineStr">
        <is>
          <t>24E80F05-553C-491E-86E1-8F64E88DCA0E</t>
        </is>
      </c>
      <c r="C24" t="n">
        <v>8921</v>
      </c>
      <c r="D24" t="n">
        <v>7469</v>
      </c>
      <c r="E24" t="inlineStr">
        <is>
          <t>ATM</t>
        </is>
      </c>
      <c r="F24" t="inlineStr">
        <is>
          <t>CENTRO</t>
        </is>
      </c>
      <c r="G24" t="inlineStr">
        <is>
          <t>META</t>
        </is>
      </c>
      <c r="H24" t="inlineStr">
        <is>
          <t>VILLAVICENCIO</t>
        </is>
      </c>
      <c r="I24" t="n">
        <v>0</v>
      </c>
      <c r="J24" t="n">
        <v>1</v>
      </c>
      <c r="K24" t="inlineStr">
        <is>
          <t>Alta</t>
        </is>
      </c>
      <c r="L24" t="inlineStr">
        <is>
          <t>WF 1055 - ZO09-Zonas 24H-Tamper y Antimascara AP:A</t>
        </is>
      </c>
      <c r="M24" t="inlineStr">
        <is>
          <t>activación tamper y antimascara</t>
        </is>
      </c>
      <c r="N24" t="inlineStr">
        <is>
          <t>activación tamper y antimascara</t>
        </is>
      </c>
      <c r="O24" t="inlineStr">
        <is>
          <t>7469 4806 4807 C TOCORAGUA - 8921 - TBS - NCR</t>
        </is>
      </c>
      <c r="P24" t="inlineStr">
        <is>
          <t>SGIII-8921-4-1</t>
        </is>
      </c>
      <c r="Q24" t="inlineStr">
        <is>
          <t xml:space="preserve">TAMPER Y ANTIMASCARA CUARTO CAJEROS </t>
        </is>
      </c>
      <c r="R24" t="inlineStr">
        <is>
          <t>SGIII</t>
        </is>
      </c>
      <c r="S24" t="n">
        <v>0</v>
      </c>
      <c r="T24" t="inlineStr">
        <is>
          <t>Adier Cuitiva Mayo</t>
        </is>
      </c>
      <c r="U24" t="inlineStr">
        <is>
          <t>Mal manejo</t>
        </is>
      </c>
      <c r="V24" t="inlineStr">
        <is>
          <t>VATCO</t>
        </is>
      </c>
      <c r="W24" t="inlineStr">
        <is>
          <t>TRANSBANK</t>
        </is>
      </c>
      <c r="X24">
        <f>EXACT(TRIM(UPPER(V24)), TRIM(UPPER(W24)))</f>
        <v/>
      </c>
      <c r="Y24" t="inlineStr"/>
      <c r="Z24" t="n">
        <v>4</v>
      </c>
      <c r="AA24" t="inlineStr">
        <is>
          <t>Oportuno</t>
        </is>
      </c>
      <c r="AB24" s="1" t="n">
        <v>46205.60290509259</v>
      </c>
      <c r="AC24" s="1" t="n">
        <v>46205.60295138889</v>
      </c>
      <c r="AD24" s="1" t="n">
        <v>46205.62008101852</v>
      </c>
      <c r="AE24" t="n">
        <v>1484</v>
      </c>
      <c r="AF24" t="inlineStr"/>
    </row>
    <row r="25">
      <c r="A25" t="inlineStr">
        <is>
          <t>1A312E74-19F2-4F11-86E2-6BDE2083FC21</t>
        </is>
      </c>
      <c r="B25" t="inlineStr">
        <is>
          <t>2E9367C4-B5FD-4341-A3B0-8F31B5F96452</t>
        </is>
      </c>
      <c r="C25" t="n">
        <v>8921</v>
      </c>
      <c r="D25" t="n">
        <v>7469</v>
      </c>
      <c r="E25" t="inlineStr">
        <is>
          <t>ATM</t>
        </is>
      </c>
      <c r="F25" t="inlineStr">
        <is>
          <t>CENTRO</t>
        </is>
      </c>
      <c r="G25" t="inlineStr">
        <is>
          <t>META</t>
        </is>
      </c>
      <c r="H25" t="inlineStr">
        <is>
          <t>VILLAVICENCIO</t>
        </is>
      </c>
      <c r="I25" t="n">
        <v>1</v>
      </c>
      <c r="J25" t="n">
        <v>1</v>
      </c>
      <c r="K25" t="inlineStr">
        <is>
          <t>Alta</t>
        </is>
      </c>
      <c r="L25" t="inlineStr">
        <is>
          <t>WF 1047 - ZO01-Zonas 24H-ATM-AP:Disarm</t>
        </is>
      </c>
      <c r="M25" t="inlineStr">
        <is>
          <t>activación perimetral</t>
        </is>
      </c>
      <c r="N25" t="inlineStr">
        <is>
          <t>activación perimetral atm</t>
        </is>
      </c>
      <c r="O25" t="inlineStr">
        <is>
          <t>7469 4806 4807 C TOCORAGUA - 8921 - TBS - NCR</t>
        </is>
      </c>
      <c r="P25" t="inlineStr">
        <is>
          <t>SGIII-8921-2-1</t>
        </is>
      </c>
      <c r="Q25" t="inlineStr">
        <is>
          <t xml:space="preserve">MAGNETICO CUARTO CAJEROS </t>
        </is>
      </c>
      <c r="R25" t="inlineStr">
        <is>
          <t>SGIII</t>
        </is>
      </c>
      <c r="S25" t="n">
        <v>0</v>
      </c>
      <c r="T25" t="inlineStr">
        <is>
          <t>Laura Valentina Restrepo Jaramillo</t>
        </is>
      </c>
      <c r="U25" t="inlineStr">
        <is>
          <t>Mal manejo</t>
        </is>
      </c>
      <c r="V25" t="inlineStr">
        <is>
          <t>DIEBOLD</t>
        </is>
      </c>
      <c r="W25" t="inlineStr">
        <is>
          <t>NCR</t>
        </is>
      </c>
      <c r="X25">
        <f>EXACT(TRIM(UPPER(V25)), TRIM(UPPER(W25)))</f>
        <v/>
      </c>
      <c r="Y25" t="inlineStr"/>
      <c r="Z25" t="n">
        <v>8</v>
      </c>
      <c r="AA25" t="inlineStr">
        <is>
          <t>Oportuno</t>
        </is>
      </c>
      <c r="AB25" s="1" t="n">
        <v>46205.65268518519</v>
      </c>
      <c r="AC25" s="1" t="n">
        <v>46205.65277777778</v>
      </c>
      <c r="AD25" s="1" t="n">
        <v>46205.75859953704</v>
      </c>
      <c r="AE25" t="n">
        <v>9151</v>
      </c>
      <c r="AF25" t="inlineStr">
        <is>
          <t>[2026-07-02 15:40:40] Laura Valentina Restrepo Jaramillo: [SOP:1] Validando Video ✅ [SOP:2] Enviando Reacción ✅ [SOP:3] Documentando ✅ || [2026-07-02 15:40:49] Laura Valentina Restrepo Jaramillo: Se verifica por video cámara relacionada en tiempo real, TECNICO en aparente normalidad diebold</t>
        </is>
      </c>
    </row>
    <row r="26">
      <c r="A26" t="inlineStr">
        <is>
          <t>E44254EE-15CD-41C9-9DB3-E9340C29C9ED</t>
        </is>
      </c>
      <c r="B26" t="inlineStr">
        <is>
          <t>A4E4DB68-41FC-4BB1-B722-411E9874FB6E</t>
        </is>
      </c>
      <c r="C26" t="n">
        <v>9060</v>
      </c>
      <c r="D26" t="n">
        <v>2988</v>
      </c>
      <c r="E26" t="inlineStr">
        <is>
          <t>ATM</t>
        </is>
      </c>
      <c r="F26" t="inlineStr">
        <is>
          <t>SUR</t>
        </is>
      </c>
      <c r="G26" t="inlineStr">
        <is>
          <t>VALLE DEL CAUCA</t>
        </is>
      </c>
      <c r="H26" t="inlineStr">
        <is>
          <t>CALI</t>
        </is>
      </c>
      <c r="I26" t="n">
        <v>1</v>
      </c>
      <c r="J26" t="n">
        <v>1</v>
      </c>
      <c r="K26" t="inlineStr">
        <is>
          <t>Alta</t>
        </is>
      </c>
      <c r="L26" t="inlineStr">
        <is>
          <t>WF 1047 - ZO01-Zonas 24H-ATM-AP:Disarm</t>
        </is>
      </c>
      <c r="M26" t="inlineStr">
        <is>
          <t>activación perimetral</t>
        </is>
      </c>
      <c r="N26" t="inlineStr">
        <is>
          <t>activación perimetral atm</t>
        </is>
      </c>
      <c r="O26" t="inlineStr">
        <is>
          <t>2988 C PARQUE DE LA CAÑA S - 9060 - TBS - NCR</t>
        </is>
      </c>
      <c r="P26" t="inlineStr">
        <is>
          <t>SGIII-9060-7-2</t>
        </is>
      </c>
      <c r="Q26" t="inlineStr">
        <is>
          <t>MICROSUICHE DIAL COFRE CAJERO</t>
        </is>
      </c>
      <c r="R26" t="inlineStr">
        <is>
          <t>SGIII</t>
        </is>
      </c>
      <c r="S26" t="n">
        <v>0</v>
      </c>
      <c r="T26" t="inlineStr">
        <is>
          <t>ARELY TORRES</t>
        </is>
      </c>
      <c r="U26" t="inlineStr">
        <is>
          <t>Mal manejo</t>
        </is>
      </c>
      <c r="V26" t="inlineStr">
        <is>
          <t>TRANSBANK</t>
        </is>
      </c>
      <c r="W26" t="inlineStr">
        <is>
          <t>BRINKS</t>
        </is>
      </c>
      <c r="X26">
        <f>EXACT(TRIM(UPPER(V26)), TRIM(UPPER(W26)))</f>
        <v/>
      </c>
      <c r="Y26" t="inlineStr"/>
      <c r="Z26" t="n">
        <v>7</v>
      </c>
      <c r="AA26" t="inlineStr">
        <is>
          <t>Oportuno</t>
        </is>
      </c>
      <c r="AB26" s="1" t="n">
        <v>46206.29728009259</v>
      </c>
      <c r="AC26" s="1" t="n">
        <v>46206.29736111111</v>
      </c>
      <c r="AD26" s="1" t="n">
        <v>46206.39796296296</v>
      </c>
      <c r="AE26" t="n">
        <v>8699</v>
      </c>
      <c r="AF26" t="inlineStr">
        <is>
          <t>[2026-07-03 07:08:21] ARELY TORRES: [SOP:1] Validando Video ✅ [SOP:2] Enviando Reacción ✅ || [2026-07-03 07:08:21] ARELY TORRES: [SOP:3] Documentando ✅ || [2026-07-03 07:09:00] ARELY TORRES: SE GENERA COBRO DE MALOS, ZONA SIN BYPASEAR A TIEMPO Se valida video por Command y no se evidencia novedad. TDV EN SITIO || [2026-07-03 07:09:01] ARELY TORRES: BK</t>
        </is>
      </c>
    </row>
    <row r="27">
      <c r="A27" t="inlineStr">
        <is>
          <t>E44254EE-15CD-41C9-9DB3-E9340C29C9ED</t>
        </is>
      </c>
      <c r="B27" t="inlineStr">
        <is>
          <t>FF7E0E5D-E05E-41EF-85BD-43BB04DE8CC1</t>
        </is>
      </c>
      <c r="C27" t="n">
        <v>9060</v>
      </c>
      <c r="D27" t="n">
        <v>2988</v>
      </c>
      <c r="E27" t="inlineStr">
        <is>
          <t>ATM</t>
        </is>
      </c>
      <c r="F27" t="inlineStr">
        <is>
          <t>SUR</t>
        </is>
      </c>
      <c r="G27" t="inlineStr">
        <is>
          <t>VALLE DEL CAUCA</t>
        </is>
      </c>
      <c r="H27" t="inlineStr">
        <is>
          <t>CALI</t>
        </is>
      </c>
      <c r="I27" t="n">
        <v>0</v>
      </c>
      <c r="J27" t="n">
        <v>1</v>
      </c>
      <c r="K27" t="inlineStr">
        <is>
          <t>Alta</t>
        </is>
      </c>
      <c r="L27" t="inlineStr">
        <is>
          <t>WF 1047 - ZO01-Zonas 24H-ATM-AP:Disarm</t>
        </is>
      </c>
      <c r="M27" t="inlineStr">
        <is>
          <t>activación perimetral</t>
        </is>
      </c>
      <c r="N27" t="inlineStr">
        <is>
          <t>activación perimetral atm</t>
        </is>
      </c>
      <c r="O27" t="inlineStr">
        <is>
          <t>2988 C PARQUE DE LA CAÑA S - 9060 - TBS - NCR</t>
        </is>
      </c>
      <c r="P27" t="inlineStr">
        <is>
          <t>SGIII-9060-9-2</t>
        </is>
      </c>
      <c r="Q27" t="inlineStr">
        <is>
          <t>MAGNETICO COFRE CAJERO</t>
        </is>
      </c>
      <c r="R27" t="inlineStr">
        <is>
          <t>SGIII</t>
        </is>
      </c>
      <c r="S27" t="n">
        <v>0</v>
      </c>
      <c r="T27" t="inlineStr">
        <is>
          <t>ARELY TORRES</t>
        </is>
      </c>
      <c r="U27" t="inlineStr">
        <is>
          <t>Mal manejo</t>
        </is>
      </c>
      <c r="V27" t="inlineStr">
        <is>
          <t>TRANSBANK</t>
        </is>
      </c>
      <c r="W27" t="inlineStr">
        <is>
          <t>BRINKS</t>
        </is>
      </c>
      <c r="X27">
        <f>EXACT(TRIM(UPPER(V27)), TRIM(UPPER(W27)))</f>
        <v/>
      </c>
      <c r="Y27" t="inlineStr"/>
      <c r="Z27" t="n">
        <v>7</v>
      </c>
      <c r="AA27" t="inlineStr">
        <is>
          <t>Oportuno</t>
        </is>
      </c>
      <c r="AB27" s="1" t="n">
        <v>46206.29730324074</v>
      </c>
      <c r="AC27" s="1" t="n">
        <v>46206.29738425926</v>
      </c>
      <c r="AD27" s="1" t="n">
        <v>46206.39796296296</v>
      </c>
      <c r="AE27" t="n">
        <v>8697</v>
      </c>
      <c r="AF27" t="inlineStr"/>
    </row>
    <row r="28">
      <c r="A28" t="inlineStr">
        <is>
          <t>8E797F98-AC1F-4C83-BAE3-E6361E72CDC8</t>
        </is>
      </c>
      <c r="B28" t="inlineStr">
        <is>
          <t>25F4475B-852F-4BDB-907A-9CCE8C2E0AF9</t>
        </is>
      </c>
      <c r="C28" t="n">
        <v>7465</v>
      </c>
      <c r="D28" t="n">
        <v>6693</v>
      </c>
      <c r="E28" t="inlineStr">
        <is>
          <t>ATM</t>
        </is>
      </c>
      <c r="F28" t="inlineStr">
        <is>
          <t>ANTIOQUIA</t>
        </is>
      </c>
      <c r="G28" t="inlineStr">
        <is>
          <t>ANTIOQUIA</t>
        </is>
      </c>
      <c r="H28" t="inlineStr">
        <is>
          <t>BELLO</t>
        </is>
      </c>
      <c r="I28" t="n">
        <v>1</v>
      </c>
      <c r="J28" t="n">
        <v>1</v>
      </c>
      <c r="K28" t="inlineStr">
        <is>
          <t>Alta</t>
        </is>
      </c>
      <c r="L28" t="inlineStr">
        <is>
          <t>WF 1047 - ZO01-Zonas 24H-ATM-AP:Disarm</t>
        </is>
      </c>
      <c r="M28" t="inlineStr">
        <is>
          <t>activación perimetral</t>
        </is>
      </c>
      <c r="N28" t="inlineStr">
        <is>
          <t>activación perimetral atm</t>
        </is>
      </c>
      <c r="O28" t="inlineStr">
        <is>
          <t>6693 C MADERA - 7465 - TBS - DIEBOLD</t>
        </is>
      </c>
      <c r="P28" t="inlineStr">
        <is>
          <t>SGIII-7465-12-2</t>
        </is>
      </c>
      <c r="Q28" t="inlineStr">
        <is>
          <t xml:space="preserve">MAGNETICO FASCIA SUPERIOR CAJERO </t>
        </is>
      </c>
      <c r="R28" t="inlineStr">
        <is>
          <t>SGIII</t>
        </is>
      </c>
      <c r="S28" t="n">
        <v>0</v>
      </c>
      <c r="T28" t="inlineStr">
        <is>
          <t>Laura Valentina Restrepo Jaramillo</t>
        </is>
      </c>
      <c r="U28" t="inlineStr">
        <is>
          <t>Mal manejo</t>
        </is>
      </c>
      <c r="V28" t="inlineStr">
        <is>
          <t>VATCO</t>
        </is>
      </c>
      <c r="W28" t="inlineStr">
        <is>
          <t>TRANSBANK</t>
        </is>
      </c>
      <c r="X28">
        <f>EXACT(TRIM(UPPER(V28)), TRIM(UPPER(W28)))</f>
        <v/>
      </c>
      <c r="Y28" t="inlineStr"/>
      <c r="Z28" t="n">
        <v>4</v>
      </c>
      <c r="AA28" t="inlineStr">
        <is>
          <t>Oportuno</t>
        </is>
      </c>
      <c r="AB28" s="1" t="n">
        <v>46207.3112962963</v>
      </c>
      <c r="AC28" s="1" t="n">
        <v>46207.31134259259</v>
      </c>
      <c r="AD28" s="1" t="n">
        <v>46207.41712962963</v>
      </c>
      <c r="AE28" t="n">
        <v>9144</v>
      </c>
      <c r="AF28" t="inlineStr">
        <is>
          <t>[2026-07-04 07:37:29] Laura Valentina Restrepo Jaramillo: [SOP:1] Validando Video ✅ [SOP:2] Enviando Reacción ✅ [SOP:3] Documentando ✅ || [2026-07-04 07:37:47] Laura Valentina Restrepo Jaramillo: ¡Enviando reacción correspondiente!  GAM -POLICIA  No carga video || [2026-07-04 07:38:14] Laura Valentina Restrepo Jaramillo: Se verifica por video cámara relacionada en tiempo real, TDV en el punto en aparente normalidad tbs || [2026-07-04 07:38:20] Laura Valentina Restrepo Jaramillo: Activación generada por desarme inoportuno</t>
        </is>
      </c>
    </row>
    <row r="29">
      <c r="A29" t="inlineStr">
        <is>
          <t>A818CA5C-26EA-4AFD-BD83-6CF93186806F</t>
        </is>
      </c>
      <c r="B29" t="inlineStr">
        <is>
          <t>5934BA32-3068-4F51-AC44-D96366C12753</t>
        </is>
      </c>
      <c r="C29" t="n">
        <v>1821</v>
      </c>
      <c r="D29" t="n">
        <v>2536</v>
      </c>
      <c r="E29" t="inlineStr">
        <is>
          <t>ATM</t>
        </is>
      </c>
      <c r="F29" t="inlineStr">
        <is>
          <t>SUR</t>
        </is>
      </c>
      <c r="G29" t="inlineStr">
        <is>
          <t>VALLE DEL CAUCA</t>
        </is>
      </c>
      <c r="H29" t="inlineStr">
        <is>
          <t>CALI</t>
        </is>
      </c>
      <c r="I29" t="n">
        <v>1</v>
      </c>
      <c r="J29" t="n">
        <v>1</v>
      </c>
      <c r="K29" t="inlineStr">
        <is>
          <t>Alta</t>
        </is>
      </c>
      <c r="L29" t="inlineStr">
        <is>
          <t>WF 1047 - ZO01-Zonas 24H-ATM-AP:Disarm</t>
        </is>
      </c>
      <c r="M29" t="inlineStr">
        <is>
          <t>activación perimetral</t>
        </is>
      </c>
      <c r="N29" t="inlineStr">
        <is>
          <t>activación perimetral atm</t>
        </is>
      </c>
      <c r="O29" t="inlineStr">
        <is>
          <t>2536 C GRANADA CALI - 1821 - TBS - NCR</t>
        </is>
      </c>
      <c r="P29" t="inlineStr">
        <is>
          <t>Honeywell7810PC-1821-82-4</t>
        </is>
      </c>
      <c r="Q29" t="inlineStr">
        <is>
          <t>MICROSUICHE CONTRATAPA INFERIOR CAJERO</t>
        </is>
      </c>
      <c r="R29" t="inlineStr">
        <is>
          <t>Honeywell</t>
        </is>
      </c>
      <c r="S29" t="n">
        <v>0</v>
      </c>
      <c r="T29" t="inlineStr">
        <is>
          <t>Laura Valentina Restrepo Jaramillo</t>
        </is>
      </c>
      <c r="U29" t="inlineStr">
        <is>
          <t>Mal manejo</t>
        </is>
      </c>
      <c r="V29" t="inlineStr">
        <is>
          <t>ATLAS</t>
        </is>
      </c>
      <c r="W29" t="inlineStr">
        <is>
          <t>TRANSBANK</t>
        </is>
      </c>
      <c r="X29">
        <f>EXACT(TRIM(UPPER(V29)), TRIM(UPPER(W29)))</f>
        <v/>
      </c>
      <c r="Y29" t="inlineStr"/>
      <c r="Z29" t="n">
        <v>6</v>
      </c>
      <c r="AA29" t="inlineStr">
        <is>
          <t>Oportuno</t>
        </is>
      </c>
      <c r="AB29" s="1" t="n">
        <v>46207.45034722222</v>
      </c>
      <c r="AC29" s="1" t="n">
        <v>46207.45041666667</v>
      </c>
      <c r="AD29" s="1" t="n">
        <v>46207.4512962963</v>
      </c>
      <c r="AE29" t="n">
        <v>82</v>
      </c>
      <c r="AF29" t="inlineStr">
        <is>
          <t>[2026-07-04 10:48:42] Laura Valentina Restrepo Jaramillo: [SOP:1] Validando Video ✅ [SOP:2] Enviando Reacción ✅ [SOP:3] Documentando ✅ || [2026-07-04 10:49:13] Laura Valentina Restrepo Jaramillo: Se verifica por video cámara relacionada en tiempo real, TDV en el punto en aparente normalidad tbs || [2026-07-04 10:49:17] Laura Valentina Restrepo Jaramillo: Activación generada por desarme inoportuno</t>
        </is>
      </c>
    </row>
    <row r="30">
      <c r="A30" t="inlineStr">
        <is>
          <t>841382A9-9888-446F-900F-091ED486957C</t>
        </is>
      </c>
      <c r="B30" t="inlineStr">
        <is>
          <t>D6BD39C9-6878-49DC-AC13-6FD920BC53BB</t>
        </is>
      </c>
      <c r="C30" t="n">
        <v>6753</v>
      </c>
      <c r="D30" t="n">
        <v>9666</v>
      </c>
      <c r="E30" t="inlineStr">
        <is>
          <t>ATM</t>
        </is>
      </c>
      <c r="F30" t="inlineStr">
        <is>
          <t>CENTRO</t>
        </is>
      </c>
      <c r="G30" t="inlineStr">
        <is>
          <t>GUAVIARE</t>
        </is>
      </c>
      <c r="H30" t="inlineStr">
        <is>
          <t>SAN JOSÉ DEL GUAVIARE</t>
        </is>
      </c>
      <c r="I30" t="n">
        <v>1</v>
      </c>
      <c r="J30" t="n">
        <v>1</v>
      </c>
      <c r="K30" t="inlineStr">
        <is>
          <t>Alta</t>
        </is>
      </c>
      <c r="L30" t="inlineStr">
        <is>
          <t>WF 1047 - ZO01-Zonas 24H-ATM-AP:Disarm</t>
        </is>
      </c>
      <c r="M30" t="inlineStr">
        <is>
          <t>activación perimetral</t>
        </is>
      </c>
      <c r="N30" t="inlineStr">
        <is>
          <t>activación perimetral atm</t>
        </is>
      </c>
      <c r="O30" t="inlineStr">
        <is>
          <t>9666 C SUPERMERCADO CAÑAVERAL - 6753 - TBS - DIEBOLD</t>
        </is>
      </c>
      <c r="P30" t="inlineStr">
        <is>
          <t>SGIII-6753-4-2</t>
        </is>
      </c>
      <c r="Q30" t="inlineStr">
        <is>
          <t xml:space="preserve">MAGNETICO FASCIA SUPERIOR CAJERO </t>
        </is>
      </c>
      <c r="R30" t="inlineStr">
        <is>
          <t>SGIII</t>
        </is>
      </c>
      <c r="S30" t="n">
        <v>1</v>
      </c>
      <c r="T30" t="inlineStr">
        <is>
          <t>Adier Cuitiva Mayo</t>
        </is>
      </c>
      <c r="U30" t="inlineStr">
        <is>
          <t>Mal manejo</t>
        </is>
      </c>
      <c r="V30" t="inlineStr">
        <is>
          <t>TRANSBANK</t>
        </is>
      </c>
      <c r="W30" t="inlineStr">
        <is>
          <t>ATLAS</t>
        </is>
      </c>
      <c r="X30">
        <f>EXACT(TRIM(UPPER(V30)), TRIM(UPPER(W30)))</f>
        <v/>
      </c>
      <c r="Y30" t="inlineStr"/>
      <c r="Z30" t="n">
        <v>11</v>
      </c>
      <c r="AA30" t="inlineStr">
        <is>
          <t>Oportuno</t>
        </is>
      </c>
      <c r="AB30" s="1" t="n">
        <v>46207.46450231481</v>
      </c>
      <c r="AC30" s="1" t="n">
        <v>46207.46462962963</v>
      </c>
      <c r="AD30" s="1" t="n">
        <v>46207.48709490741</v>
      </c>
      <c r="AE30" t="n">
        <v>1952</v>
      </c>
      <c r="AF30" t="inlineStr">
        <is>
          <t>[2026-07-04 11:09:09] Adier Cuitiva Mayo: [SOP:1] Validando Video ✅ [SOP:2] Enviando Reacción ✅ [SOP:3] Documentando ✅ || [2026-07-04 11:10:12] Adier Cuitiva Mayo: Se verifica por video cámara relacionada en tiempo real, TDV AT en el punto en aparente normalidad || [2026-07-04 11:10:33] Adier Cuitiva Mayo: Se genera cobro de malos manejos por desarme no oportuno</t>
        </is>
      </c>
    </row>
    <row r="31">
      <c r="A31" t="inlineStr">
        <is>
          <t>841382A9-9888-446F-900F-091ED486957C</t>
        </is>
      </c>
      <c r="B31" t="inlineStr">
        <is>
          <t>450F150A-0DFB-4665-ABDC-A0E64E4EBF44</t>
        </is>
      </c>
      <c r="C31" t="n">
        <v>6753</v>
      </c>
      <c r="D31" t="n">
        <v>9666</v>
      </c>
      <c r="E31" t="inlineStr">
        <is>
          <t>ATM</t>
        </is>
      </c>
      <c r="F31" t="inlineStr">
        <is>
          <t>CENTRO</t>
        </is>
      </c>
      <c r="G31" t="inlineStr">
        <is>
          <t>GUAVIARE</t>
        </is>
      </c>
      <c r="H31" t="inlineStr">
        <is>
          <t>SAN JOSÉ DEL GUAVIARE</t>
        </is>
      </c>
      <c r="I31" t="n">
        <v>0</v>
      </c>
      <c r="J31" t="n">
        <v>1</v>
      </c>
      <c r="K31" t="inlineStr">
        <is>
          <t>Alta</t>
        </is>
      </c>
      <c r="L31" t="inlineStr">
        <is>
          <t>WF 1047 - ZO01-Zonas 24H-ATM-AP:Disarm</t>
        </is>
      </c>
      <c r="M31" t="inlineStr">
        <is>
          <t>activación perimetral</t>
        </is>
      </c>
      <c r="N31" t="inlineStr">
        <is>
          <t>activación perimetral atm</t>
        </is>
      </c>
      <c r="O31" t="inlineStr">
        <is>
          <t>9666 C SUPERMERCADO CAÑAVERAL - 6753 - TBS - DIEBOLD</t>
        </is>
      </c>
      <c r="P31" t="inlineStr">
        <is>
          <t>SGIII-6753-3-2</t>
        </is>
      </c>
      <c r="Q31" t="inlineStr">
        <is>
          <t xml:space="preserve">MAGNETICO CONTRATAPA INFERIOR CAJERO </t>
        </is>
      </c>
      <c r="R31" t="inlineStr">
        <is>
          <t>SGIII</t>
        </is>
      </c>
      <c r="S31" t="n">
        <v>1</v>
      </c>
      <c r="T31" t="inlineStr">
        <is>
          <t>Adier Cuitiva Mayo</t>
        </is>
      </c>
      <c r="U31" t="inlineStr">
        <is>
          <t>Mal manejo</t>
        </is>
      </c>
      <c r="V31" t="inlineStr">
        <is>
          <t>TRANSBANK</t>
        </is>
      </c>
      <c r="W31" t="inlineStr">
        <is>
          <t>ATLAS</t>
        </is>
      </c>
      <c r="X31">
        <f>EXACT(TRIM(UPPER(V31)), TRIM(UPPER(W31)))</f>
        <v/>
      </c>
      <c r="Y31" t="inlineStr"/>
      <c r="Z31" t="n">
        <v>4</v>
      </c>
      <c r="AA31" t="inlineStr">
        <is>
          <t>Oportuno</t>
        </is>
      </c>
      <c r="AB31" s="1" t="n">
        <v>46207.46476851852</v>
      </c>
      <c r="AC31" s="1" t="n">
        <v>46207.46481481481</v>
      </c>
      <c r="AD31" s="1" t="n">
        <v>46207.4871875</v>
      </c>
      <c r="AE31" t="n">
        <v>1937</v>
      </c>
      <c r="AF31" t="inlineStr"/>
    </row>
    <row r="32">
      <c r="A32" t="inlineStr">
        <is>
          <t>AD41FD09-1D11-4843-A13E-310D82A620D8</t>
        </is>
      </c>
      <c r="B32" t="inlineStr">
        <is>
          <t>955550BE-47C8-47C8-87C2-B5409B8C3C0B</t>
        </is>
      </c>
      <c r="C32" t="n">
        <v>7174</v>
      </c>
      <c r="D32" t="n">
        <v>8556</v>
      </c>
      <c r="E32" t="inlineStr">
        <is>
          <t>ATM</t>
        </is>
      </c>
      <c r="F32" t="inlineStr">
        <is>
          <t>BOG Y SABANA</t>
        </is>
      </c>
      <c r="G32" t="inlineStr">
        <is>
          <t>CUNDINAMARCA</t>
        </is>
      </c>
      <c r="H32" t="inlineStr">
        <is>
          <t>BOGOTÁ, D.C.</t>
        </is>
      </c>
      <c r="I32" t="n">
        <v>1</v>
      </c>
      <c r="J32" t="n">
        <v>1</v>
      </c>
      <c r="K32" t="inlineStr">
        <is>
          <t>Alta</t>
        </is>
      </c>
      <c r="L32" t="inlineStr">
        <is>
          <t>WF 1047 - ZO01-Zonas 24H-ATM-AP:Disarm</t>
        </is>
      </c>
      <c r="M32" t="inlineStr">
        <is>
          <t>activación perimetral</t>
        </is>
      </c>
      <c r="N32" t="inlineStr">
        <is>
          <t>activación perimetral atm</t>
        </is>
      </c>
      <c r="O32" t="inlineStr">
        <is>
          <t>8556 C MULTIFUNCIONAL GRAN ESTACION - 7174 - ATL - DIEBOLD</t>
        </is>
      </c>
      <c r="P32" t="inlineStr">
        <is>
          <t>Honeywell7810PC-7174-27-3</t>
        </is>
      </c>
      <c r="Q32" t="inlineStr">
        <is>
          <t>MICROSUICHE CONTRATAPA INFERIOR CAJERO</t>
        </is>
      </c>
      <c r="R32" t="inlineStr">
        <is>
          <t>Honeywell</t>
        </is>
      </c>
      <c r="S32" t="n">
        <v>0</v>
      </c>
      <c r="T32" t="inlineStr">
        <is>
          <t>sirley johana  osorno ciro</t>
        </is>
      </c>
      <c r="U32" t="inlineStr">
        <is>
          <t>Mal manejo</t>
        </is>
      </c>
      <c r="V32" t="inlineStr">
        <is>
          <t>BRINKS</t>
        </is>
      </c>
      <c r="W32" t="inlineStr">
        <is>
          <t>ATLAS</t>
        </is>
      </c>
      <c r="X32">
        <f>EXACT(TRIM(UPPER(V32)), TRIM(UPPER(W32)))</f>
        <v/>
      </c>
      <c r="Y32" t="inlineStr"/>
      <c r="Z32" t="n">
        <v>8</v>
      </c>
      <c r="AA32" t="inlineStr">
        <is>
          <t>Oportuno</t>
        </is>
      </c>
      <c r="AB32" s="1" t="n">
        <v>46207.53679398148</v>
      </c>
      <c r="AC32" s="1" t="n">
        <v>46207.53688657407</v>
      </c>
      <c r="AD32" s="1" t="n">
        <v>46207.54112268519</v>
      </c>
      <c r="AE32" t="n">
        <v>374</v>
      </c>
      <c r="AF32" t="inlineStr">
        <is>
          <t>[2026-07-04 12:53:52] sirley johana  osorno ciro: [SOP:1] Validando Video ✅ [SOP:2] Enviando Reacción ✅ [SOP:3] Documentando ✅ || [2026-07-04 12:54:45] sirley johana  osorno ciro: Se realiza la respectiva validación por video COMMAND se observa a la hora todo esta en tiempo real aparentemente sin novedad || [2026-07-04 12:55:16] sirley johana  osorno ciro: Se observa activación sin desarme por parte de la TDV  -- ATLAS</t>
        </is>
      </c>
    </row>
    <row r="33">
      <c r="A33" t="inlineStr">
        <is>
          <t>7059BA0F-9CDF-47B9-91E3-79EA472C375C</t>
        </is>
      </c>
      <c r="B33" t="inlineStr">
        <is>
          <t>9E33C3F6-7EB1-45A5-8215-A8BC637490A5</t>
        </is>
      </c>
      <c r="C33" t="n">
        <v>6023</v>
      </c>
      <c r="D33" t="n">
        <v>1055</v>
      </c>
      <c r="E33" t="inlineStr">
        <is>
          <t>ATM</t>
        </is>
      </c>
      <c r="F33" t="inlineStr">
        <is>
          <t>ANTIOQUIA</t>
        </is>
      </c>
      <c r="G33" t="inlineStr">
        <is>
          <t>ANTIOQUIA</t>
        </is>
      </c>
      <c r="H33" t="inlineStr">
        <is>
          <t>MEDELLÍN</t>
        </is>
      </c>
      <c r="I33" t="n">
        <v>0</v>
      </c>
      <c r="J33" t="n">
        <v>1</v>
      </c>
      <c r="K33" t="inlineStr">
        <is>
          <t>Alta</t>
        </is>
      </c>
      <c r="L33" t="inlineStr">
        <is>
          <t>WF 1047 - ZO01-Zonas 24H-ATM-AP:Disarm</t>
        </is>
      </c>
      <c r="M33" t="inlineStr">
        <is>
          <t>activación perimetral</t>
        </is>
      </c>
      <c r="N33" t="inlineStr">
        <is>
          <t>activación perimetral atm</t>
        </is>
      </c>
      <c r="O33" t="inlineStr">
        <is>
          <t>1055 1056 1057 C HALL FLORIDA PARQUE - 6023</t>
        </is>
      </c>
      <c r="P33" t="inlineStr">
        <is>
          <t>SGIII-6023-14-2</t>
        </is>
      </c>
      <c r="Q33" t="inlineStr">
        <is>
          <t>MICROSUICHE FASCIA INFERIOR KIOSCO</t>
        </is>
      </c>
      <c r="R33" t="inlineStr">
        <is>
          <t>SGIII</t>
        </is>
      </c>
      <c r="S33" t="n">
        <v>0</v>
      </c>
      <c r="T33" t="inlineStr">
        <is>
          <t>kelly aguirre</t>
        </is>
      </c>
      <c r="U33" t="inlineStr">
        <is>
          <t>Mal manejo</t>
        </is>
      </c>
      <c r="V33" t="inlineStr">
        <is>
          <t>BRINKS</t>
        </is>
      </c>
      <c r="W33" t="inlineStr"/>
      <c r="X33">
        <f>EXACT(TRIM(UPPER(V33)), TRIM(UPPER(W33)))</f>
        <v/>
      </c>
      <c r="Y33" t="inlineStr"/>
      <c r="Z33" t="n">
        <v>7</v>
      </c>
      <c r="AA33" t="inlineStr">
        <is>
          <t>Oportuno</t>
        </is>
      </c>
      <c r="AB33" s="1" t="n">
        <v>46207.68248842593</v>
      </c>
      <c r="AC33" s="1" t="n">
        <v>46207.68256944444</v>
      </c>
      <c r="AD33" s="1" t="n">
        <v>46207.69075231482</v>
      </c>
      <c r="AE33" t="n">
        <v>714</v>
      </c>
      <c r="AF33" t="inlineStr"/>
    </row>
    <row r="34">
      <c r="A34" t="inlineStr">
        <is>
          <t>F902F6EE-4E07-462E-812B-9F44F3616561</t>
        </is>
      </c>
      <c r="B34" t="inlineStr">
        <is>
          <t>74E1245F-1B0F-4A77-869E-6DB7A10D8C74</t>
        </is>
      </c>
      <c r="C34" t="n">
        <v>6743</v>
      </c>
      <c r="D34" t="n">
        <v>9830</v>
      </c>
      <c r="E34" t="inlineStr">
        <is>
          <t>ATM</t>
        </is>
      </c>
      <c r="F34" t="inlineStr">
        <is>
          <t>BOG Y SABANA</t>
        </is>
      </c>
      <c r="G34" t="inlineStr">
        <is>
          <t>CUNDINAMARCA</t>
        </is>
      </c>
      <c r="H34" t="inlineStr">
        <is>
          <t>BOGOTÁ, D.C.</t>
        </is>
      </c>
      <c r="I34" t="n">
        <v>1</v>
      </c>
      <c r="J34" t="n">
        <v>1</v>
      </c>
      <c r="K34" t="inlineStr">
        <is>
          <t>Alta</t>
        </is>
      </c>
      <c r="L34" t="inlineStr">
        <is>
          <t>WF 1047 - ZO01-Zonas 24H-ATM-AP:Disarm</t>
        </is>
      </c>
      <c r="M34" t="inlineStr">
        <is>
          <t>activación perimetral</t>
        </is>
      </c>
      <c r="N34" t="inlineStr">
        <is>
          <t>activación perimetral atm</t>
        </is>
      </c>
      <c r="O34" t="inlineStr">
        <is>
          <t>9830 C COLSUBSIDIO - 6743 - ATL - DIEBOLD</t>
        </is>
      </c>
      <c r="P34" t="inlineStr">
        <is>
          <t>SGIII-6743-2-1</t>
        </is>
      </c>
      <c r="Q34" t="inlineStr">
        <is>
          <t>MICROSUICHE TAPA TECLADO CAJERO</t>
        </is>
      </c>
      <c r="R34" t="inlineStr">
        <is>
          <t>SGIII</t>
        </is>
      </c>
      <c r="S34" t="n">
        <v>0</v>
      </c>
      <c r="T34" t="inlineStr">
        <is>
          <t>JHON DAIRO ESCOBAR GARCIA</t>
        </is>
      </c>
      <c r="U34" t="inlineStr">
        <is>
          <t>Mal manejo</t>
        </is>
      </c>
      <c r="V34" t="inlineStr">
        <is>
          <t>TRANSBANK</t>
        </is>
      </c>
      <c r="W34" t="inlineStr">
        <is>
          <t>ATLAS</t>
        </is>
      </c>
      <c r="X34">
        <f>EXACT(TRIM(UPPER(V34)), TRIM(UPPER(W34)))</f>
        <v/>
      </c>
      <c r="Y34" t="inlineStr"/>
      <c r="Z34" t="n">
        <v>8</v>
      </c>
      <c r="AA34" t="inlineStr">
        <is>
          <t>Oportuno</t>
        </is>
      </c>
      <c r="AB34" s="1" t="n">
        <v>46208.13417824074</v>
      </c>
      <c r="AC34" s="1" t="n">
        <v>46208.13427083333</v>
      </c>
      <c r="AD34" s="1" t="n">
        <v>46208.14703703704</v>
      </c>
      <c r="AE34" t="n">
        <v>1111</v>
      </c>
      <c r="AF34" t="inlineStr">
        <is>
          <t>[2026-07-05 03:13:28] JHON DAIRO ESCOBAR GARCIA: [SOP:1] Validando Video ✅ [SOP:2] Enviando Reacción ✅ [SOP:3] Documentando ✅ || [2026-07-05 03:13:57] JHON DAIRO ESCOBAR GARCIA: Se realiza la respectiva validación por video todo esta aparentemente sin novedad --- a la hora se observa TDV ATLAS en el punto al momento de la activación || [2026-07-05 03:14:03] JHON DAIRO ESCOBAR GARCIA: Se genera cobro de malos manejos desarme inoportuno</t>
        </is>
      </c>
    </row>
    <row r="35">
      <c r="A35" t="inlineStr">
        <is>
          <t>F902F6EE-4E07-462E-812B-9F44F3616561</t>
        </is>
      </c>
      <c r="B35" t="inlineStr">
        <is>
          <t>E55BFB10-4849-4298-ACF7-112CA360224D</t>
        </is>
      </c>
      <c r="C35" t="n">
        <v>6743</v>
      </c>
      <c r="D35" t="n">
        <v>9830</v>
      </c>
      <c r="E35" t="inlineStr">
        <is>
          <t>ATM</t>
        </is>
      </c>
      <c r="F35" t="inlineStr">
        <is>
          <t>BOG Y SABANA</t>
        </is>
      </c>
      <c r="G35" t="inlineStr">
        <is>
          <t>CUNDINAMARCA</t>
        </is>
      </c>
      <c r="H35" t="inlineStr">
        <is>
          <t>BOGOTÁ, D.C.</t>
        </is>
      </c>
      <c r="I35" t="n">
        <v>0</v>
      </c>
      <c r="J35" t="n">
        <v>1</v>
      </c>
      <c r="K35" t="inlineStr">
        <is>
          <t>Alta</t>
        </is>
      </c>
      <c r="L35" t="inlineStr">
        <is>
          <t>WF 1047 - ZO01-Zonas 24H-ATM-AP:Disarm</t>
        </is>
      </c>
      <c r="M35" t="inlineStr">
        <is>
          <t>activación perimetral</t>
        </is>
      </c>
      <c r="N35" t="inlineStr">
        <is>
          <t>activación perimetral atm</t>
        </is>
      </c>
      <c r="O35" t="inlineStr">
        <is>
          <t>9830 C COLSUBSIDIO - 6743 - ATL - DIEBOLD</t>
        </is>
      </c>
      <c r="P35" t="inlineStr">
        <is>
          <t>SGIII-6743-3-2</t>
        </is>
      </c>
      <c r="Q35" t="inlineStr">
        <is>
          <t xml:space="preserve">MAGNETICO CONTRATAPA INFERIOR CAJERO </t>
        </is>
      </c>
      <c r="R35" t="inlineStr">
        <is>
          <t>SGIII</t>
        </is>
      </c>
      <c r="S35" t="n">
        <v>0</v>
      </c>
      <c r="T35" t="inlineStr">
        <is>
          <t>JHON DAIRO ESCOBAR GARCIA</t>
        </is>
      </c>
      <c r="U35" t="inlineStr">
        <is>
          <t>Mal manejo</t>
        </is>
      </c>
      <c r="V35" t="inlineStr">
        <is>
          <t>TRANSBANK</t>
        </is>
      </c>
      <c r="W35" t="inlineStr">
        <is>
          <t>ATLAS</t>
        </is>
      </c>
      <c r="X35">
        <f>EXACT(TRIM(UPPER(V35)), TRIM(UPPER(W35)))</f>
        <v/>
      </c>
      <c r="Y35" t="inlineStr"/>
      <c r="Z35" t="n">
        <v>3</v>
      </c>
      <c r="AA35" t="inlineStr">
        <is>
          <t>Oportuno</t>
        </is>
      </c>
      <c r="AB35" s="1" t="n">
        <v>46208.1369212963</v>
      </c>
      <c r="AC35" s="1" t="n">
        <v>46208.13695601852</v>
      </c>
      <c r="AD35" s="1" t="n">
        <v>46208.14703703704</v>
      </c>
      <c r="AE35" t="n">
        <v>874</v>
      </c>
      <c r="AF35" t="inlineStr"/>
    </row>
    <row r="36">
      <c r="A36" t="inlineStr">
        <is>
          <t>F902F6EE-4E07-462E-812B-9F44F3616561</t>
        </is>
      </c>
      <c r="B36" t="inlineStr">
        <is>
          <t>C17F062A-DF7F-495D-813B-E74E019FA42D</t>
        </is>
      </c>
      <c r="C36" t="n">
        <v>6743</v>
      </c>
      <c r="D36" t="n">
        <v>9830</v>
      </c>
      <c r="E36" t="inlineStr">
        <is>
          <t>ATM</t>
        </is>
      </c>
      <c r="F36" t="inlineStr">
        <is>
          <t>BOG Y SABANA</t>
        </is>
      </c>
      <c r="G36" t="inlineStr">
        <is>
          <t>CUNDINAMARCA</t>
        </is>
      </c>
      <c r="H36" t="inlineStr">
        <is>
          <t>BOGOTÁ, D.C.</t>
        </is>
      </c>
      <c r="I36" t="n">
        <v>0</v>
      </c>
      <c r="J36" t="n">
        <v>1</v>
      </c>
      <c r="K36" t="inlineStr">
        <is>
          <t>Alta</t>
        </is>
      </c>
      <c r="L36" t="inlineStr">
        <is>
          <t>WF 1047 - ZO01-Zonas 24H-ATM-AP:Disarm</t>
        </is>
      </c>
      <c r="M36" t="inlineStr">
        <is>
          <t>activación perimetral</t>
        </is>
      </c>
      <c r="N36" t="inlineStr">
        <is>
          <t>activación perimetral atm</t>
        </is>
      </c>
      <c r="O36" t="inlineStr">
        <is>
          <t>9830 C COLSUBSIDIO - 6743 - ATL - DIEBOLD</t>
        </is>
      </c>
      <c r="P36" t="inlineStr">
        <is>
          <t>SGIII-6743-4-2</t>
        </is>
      </c>
      <c r="Q36" t="inlineStr">
        <is>
          <t xml:space="preserve">MAGNETICO FASCIA SUPERIOR CAJERO </t>
        </is>
      </c>
      <c r="R36" t="inlineStr">
        <is>
          <t>SGIII</t>
        </is>
      </c>
      <c r="S36" t="n">
        <v>0</v>
      </c>
      <c r="T36" t="inlineStr">
        <is>
          <t>JHON DAIRO ESCOBAR GARCIA</t>
        </is>
      </c>
      <c r="U36" t="inlineStr">
        <is>
          <t>Mal manejo</t>
        </is>
      </c>
      <c r="V36" t="inlineStr">
        <is>
          <t>TRANSBANK</t>
        </is>
      </c>
      <c r="W36" t="inlineStr">
        <is>
          <t>ATLAS</t>
        </is>
      </c>
      <c r="X36">
        <f>EXACT(TRIM(UPPER(V36)), TRIM(UPPER(W36)))</f>
        <v/>
      </c>
      <c r="Y36" t="inlineStr"/>
      <c r="Z36" t="n">
        <v>21</v>
      </c>
      <c r="AA36" t="inlineStr">
        <is>
          <t>Oportuno</t>
        </is>
      </c>
      <c r="AB36" s="1" t="n">
        <v>46208.13697916667</v>
      </c>
      <c r="AC36" s="1" t="n">
        <v>46208.13722222222</v>
      </c>
      <c r="AD36" s="1" t="n">
        <v>46208.14703703704</v>
      </c>
      <c r="AE36" t="n">
        <v>869</v>
      </c>
      <c r="AF36" t="inlineStr"/>
    </row>
    <row r="37">
      <c r="A37" t="inlineStr">
        <is>
          <t>EFAF0A34-CF0E-4B72-8E19-C2F931B45BD9</t>
        </is>
      </c>
      <c r="B37" t="inlineStr">
        <is>
          <t>76FD1100-E466-4D24-B072-95E15A5919FF</t>
        </is>
      </c>
      <c r="C37" t="n">
        <v>6910</v>
      </c>
      <c r="D37" t="n">
        <v>3954</v>
      </c>
      <c r="E37" t="inlineStr">
        <is>
          <t>ATM</t>
        </is>
      </c>
      <c r="F37" t="inlineStr">
        <is>
          <t>SUR</t>
        </is>
      </c>
      <c r="G37" t="inlineStr">
        <is>
          <t>RISARALDA</t>
        </is>
      </c>
      <c r="H37" t="inlineStr">
        <is>
          <t>PEREIRA</t>
        </is>
      </c>
      <c r="I37" t="n">
        <v>1</v>
      </c>
      <c r="J37" t="n">
        <v>1</v>
      </c>
      <c r="K37" t="inlineStr">
        <is>
          <t>Alta</t>
        </is>
      </c>
      <c r="L37" t="inlineStr">
        <is>
          <t>WF 1047 - ZO01-Zonas 24H-ATM-AP:Disarm</t>
        </is>
      </c>
      <c r="M37" t="inlineStr">
        <is>
          <t>activación perimetral</t>
        </is>
      </c>
      <c r="N37" t="inlineStr">
        <is>
          <t>activación perimetral atm</t>
        </is>
      </c>
      <c r="O37" t="inlineStr">
        <is>
          <t>3954 C EXITO BARRIO CUBA - 6910 - ATL - NCR</t>
        </is>
      </c>
      <c r="P37" t="inlineStr">
        <is>
          <t>Honeywell7810PC-6910-33-4</t>
        </is>
      </c>
      <c r="Q37" t="inlineStr">
        <is>
          <t xml:space="preserve">MAGNETICO FASCIA SUPERIOR CAJERO </t>
        </is>
      </c>
      <c r="R37" t="inlineStr">
        <is>
          <t>Honeywell</t>
        </is>
      </c>
      <c r="S37" t="n">
        <v>0</v>
      </c>
      <c r="T37" t="inlineStr">
        <is>
          <t>sirley johana  osorno ciro</t>
        </is>
      </c>
      <c r="U37" t="inlineStr">
        <is>
          <t>Mal manejo</t>
        </is>
      </c>
      <c r="V37" t="inlineStr">
        <is>
          <t>VATCO</t>
        </is>
      </c>
      <c r="W37" t="inlineStr">
        <is>
          <t>ATLAS</t>
        </is>
      </c>
      <c r="X37">
        <f>EXACT(TRIM(UPPER(V37)), TRIM(UPPER(W37)))</f>
        <v/>
      </c>
      <c r="Y37" t="inlineStr"/>
      <c r="Z37" t="n">
        <v>7</v>
      </c>
      <c r="AA37" t="inlineStr">
        <is>
          <t>Oportuno</t>
        </is>
      </c>
      <c r="AB37" s="1" t="n">
        <v>46208.32771990741</v>
      </c>
      <c r="AC37" s="1" t="n">
        <v>46208.32780092592</v>
      </c>
      <c r="AD37" s="1" t="n">
        <v>46208.42927083333</v>
      </c>
      <c r="AE37" t="n">
        <v>8774</v>
      </c>
      <c r="AF37" t="inlineStr">
        <is>
          <t>[2026-07-05 07:55:31] sirley johana  osorno ciro: [SOP:1] Validando Video ✅ [SOP:2] Enviando Reacción ✅ [SOP:3] Documentando ✅ || [2026-07-05 07:55:51] sirley johana  osorno ciro: Se realiza la respectiva validación por video COMMAND se observa a la hora todo esta en tiempo real aparentemente sin novedad || [2026-07-05 07:56:00] sirley johana  osorno ciro: Se observa activación sin desarme por parte de la TDV  - ATLAS</t>
        </is>
      </c>
    </row>
    <row r="38">
      <c r="A38" t="inlineStr">
        <is>
          <t>295E0D08-4C28-4FBF-ADCB-E49560B74194</t>
        </is>
      </c>
      <c r="B38" t="inlineStr">
        <is>
          <t>DC9C30DD-8FEC-40CF-9760-EF7FA9ECEAD1</t>
        </is>
      </c>
      <c r="C38" t="n">
        <v>6533</v>
      </c>
      <c r="D38" t="n">
        <v>225</v>
      </c>
      <c r="E38" t="inlineStr">
        <is>
          <t>ATM</t>
        </is>
      </c>
      <c r="F38" t="inlineStr">
        <is>
          <t>ANTIOQUIA</t>
        </is>
      </c>
      <c r="G38" t="inlineStr">
        <is>
          <t>ANTIOQUIA</t>
        </is>
      </c>
      <c r="H38" t="inlineStr">
        <is>
          <t>MEDELLÍN</t>
        </is>
      </c>
      <c r="I38" t="n">
        <v>1</v>
      </c>
      <c r="J38" t="n">
        <v>1</v>
      </c>
      <c r="K38" t="inlineStr">
        <is>
          <t>Alta</t>
        </is>
      </c>
      <c r="L38" t="inlineStr">
        <is>
          <t>WF 1047 - ZO01-Zonas 24H-ATM-AP:Disarm</t>
        </is>
      </c>
      <c r="M38" t="inlineStr">
        <is>
          <t>activación perimetral</t>
        </is>
      </c>
      <c r="N38" t="inlineStr">
        <is>
          <t>activación perimetral atm</t>
        </is>
      </c>
      <c r="O38" t="inlineStr">
        <is>
          <t>0225 C ESTACION METRO SAN ANTONIO NORORIENTE - 6533 - ATL - NCR</t>
        </is>
      </c>
      <c r="P38" t="inlineStr">
        <is>
          <t>SGIII-6533-6-2</t>
        </is>
      </c>
      <c r="Q38" t="inlineStr">
        <is>
          <t xml:space="preserve">MAGNETICO COFRE CAJERO </t>
        </is>
      </c>
      <c r="R38" t="inlineStr">
        <is>
          <t>SGIII</t>
        </is>
      </c>
      <c r="S38" t="n">
        <v>0</v>
      </c>
      <c r="T38" t="inlineStr">
        <is>
          <t>sirley johana  osorno ciro</t>
        </is>
      </c>
      <c r="U38" t="inlineStr">
        <is>
          <t>Mal manejo</t>
        </is>
      </c>
      <c r="V38" t="inlineStr">
        <is>
          <t>BRINKS</t>
        </is>
      </c>
      <c r="W38" t="inlineStr">
        <is>
          <t>ATLAS</t>
        </is>
      </c>
      <c r="X38">
        <f>EXACT(TRIM(UPPER(V38)), TRIM(UPPER(W38)))</f>
        <v/>
      </c>
      <c r="Y38" t="inlineStr"/>
      <c r="Z38" t="n">
        <v>7</v>
      </c>
      <c r="AA38" t="inlineStr">
        <is>
          <t>Oportuno</t>
        </is>
      </c>
      <c r="AB38" s="1" t="n">
        <v>46208.38619212963</v>
      </c>
      <c r="AC38" s="1" t="n">
        <v>46208.38627314815</v>
      </c>
      <c r="AD38" s="1" t="n">
        <v>46208.420625</v>
      </c>
      <c r="AE38" t="n">
        <v>2975</v>
      </c>
      <c r="AF38" t="inlineStr">
        <is>
          <t>[2026-07-05 09:16:19] sirley johana  osorno ciro: [SOP:1] Validando Video ✅ [SOP:2] Enviando Reacción ✅ || [2026-07-05 09:16:19] sirley johana  osorno ciro: [SOP:3] Documentando ✅ || [2026-07-05 09:16:43] Laura Valentina Restrepo Jaramillo: Se verifica por video cámara relacionada en tiempo real, TDV en el punto en aparente normalidad at || [2026-07-05 09:16:56] Laura Valentina Restrepo Jaramillo: Activación generada zona 24 horas sin bypass || [2026-07-05 09:16:59] Laura Valentina Restrepo Jaramillo: omite || [2026-07-05 09:17:02] Laura Valentina Restrepo Jaramillo: Activación generada por desarme inoportuno || [2026-07-05 09:17:37] sirley johana  osorno ciro: Se realiza la respectiva validación por video COMMAND se observa a la hora todo esta en tiempo real aparentemente sin novedad || [2026-07-05 09:17:56] sirley johana  osorno ciro: Se observa activación sin desarme por parte de la TDV  - ATLAS</t>
        </is>
      </c>
    </row>
    <row r="39">
      <c r="A39" t="inlineStr">
        <is>
          <t>D8301E43-6DB6-4986-90C2-9B36AEB25FBC</t>
        </is>
      </c>
      <c r="B39" t="inlineStr">
        <is>
          <t>C4802FE7-4EEF-4276-80E8-400BD9B3ECA2</t>
        </is>
      </c>
      <c r="C39" t="n">
        <v>7548</v>
      </c>
      <c r="D39" t="n">
        <v>7025</v>
      </c>
      <c r="E39" t="inlineStr">
        <is>
          <t>ATM</t>
        </is>
      </c>
      <c r="F39" t="inlineStr">
        <is>
          <t>BOG Y SABANA</t>
        </is>
      </c>
      <c r="G39" t="inlineStr">
        <is>
          <t>CUNDINAMARCA</t>
        </is>
      </c>
      <c r="H39" t="inlineStr">
        <is>
          <t>BOGOTÁ, D.C.</t>
        </is>
      </c>
      <c r="I39" t="n">
        <v>1</v>
      </c>
      <c r="J39" t="n">
        <v>1</v>
      </c>
      <c r="K39" t="inlineStr">
        <is>
          <t>Alta</t>
        </is>
      </c>
      <c r="L39" t="inlineStr">
        <is>
          <t>WF 1055 - ZO09-Zonas 24H-Tamper y Antimascara AP:A</t>
        </is>
      </c>
      <c r="M39" t="inlineStr">
        <is>
          <t>activación tamper y antimascara</t>
        </is>
      </c>
      <c r="N39" t="inlineStr">
        <is>
          <t>activación tamper y antimascara</t>
        </is>
      </c>
      <c r="O39" t="inlineStr">
        <is>
          <t>7025 7026 7027 C HALL GRAN PLAZA BOSA - 7548 - TBS - DIEBOLD - BELLTECH</t>
        </is>
      </c>
      <c r="P39" t="inlineStr">
        <is>
          <t>SGIII-7548-8-1</t>
        </is>
      </c>
      <c r="Q39" t="inlineStr">
        <is>
          <t xml:space="preserve">TAMPER CENTRAL ALARMA CAJERO </t>
        </is>
      </c>
      <c r="R39" t="inlineStr">
        <is>
          <t>SGIII</t>
        </is>
      </c>
      <c r="S39" t="n">
        <v>0</v>
      </c>
      <c r="T39" t="inlineStr">
        <is>
          <t>kelly aguirre</t>
        </is>
      </c>
      <c r="U39" t="inlineStr">
        <is>
          <t>Mal manejo</t>
        </is>
      </c>
      <c r="V39" t="inlineStr">
        <is>
          <t>BELLTECH</t>
        </is>
      </c>
      <c r="W39" t="inlineStr">
        <is>
          <t>DIEBOLD</t>
        </is>
      </c>
      <c r="X39">
        <f>EXACT(TRIM(UPPER(V39)), TRIM(UPPER(W39)))</f>
        <v/>
      </c>
      <c r="Y39" t="inlineStr"/>
      <c r="Z39" t="n">
        <v>6</v>
      </c>
      <c r="AA39" t="inlineStr">
        <is>
          <t>Oportuno</t>
        </is>
      </c>
      <c r="AB39" s="1" t="n">
        <v>46209.35241898148</v>
      </c>
      <c r="AC39" s="1" t="n">
        <v>46209.35248842592</v>
      </c>
      <c r="AD39" s="1" t="n">
        <v>46209.36947916666</v>
      </c>
      <c r="AE39" t="n">
        <v>1474</v>
      </c>
      <c r="AF39" t="inlineStr">
        <is>
          <t>[2026-07-06 08:50:17] kelly aguirre: [SOP:1] Validando Video ✅ [SOP:2] Enviando Reacción ✅ [SOP:3] Documentando ✅ || [2026-07-06 08:51:18] kelly aguirre: Por video se observa al momento de la     activación que en el punto esta técnico  belltech || [2026-07-06 08:51:22] kelly aguirre: PERSONAL TECNICO  EN SITIO NO REALIZA BYPASS DE LA ZONA EN ACTIVACION, LA CUAL OCASIONA ACTIVACIONES</t>
        </is>
      </c>
    </row>
    <row r="40">
      <c r="A40" t="inlineStr">
        <is>
          <t>55B99C36-42AE-4ACE-B90E-6BA4AD002813</t>
        </is>
      </c>
      <c r="B40" t="inlineStr">
        <is>
          <t>47878A0A-C714-46EA-9DED-A2420111B95F</t>
        </is>
      </c>
      <c r="C40" t="n">
        <v>7120</v>
      </c>
      <c r="D40" t="n">
        <v>8538</v>
      </c>
      <c r="E40" t="inlineStr">
        <is>
          <t>ATM</t>
        </is>
      </c>
      <c r="F40" t="inlineStr">
        <is>
          <t>SUR</t>
        </is>
      </c>
      <c r="G40" t="inlineStr">
        <is>
          <t>RISARALDA</t>
        </is>
      </c>
      <c r="H40" t="inlineStr">
        <is>
          <t>PEREIRA</t>
        </is>
      </c>
      <c r="I40" t="n">
        <v>0</v>
      </c>
      <c r="J40" t="n">
        <v>1</v>
      </c>
      <c r="K40" t="inlineStr">
        <is>
          <t>Alta</t>
        </is>
      </c>
      <c r="L40" t="inlineStr">
        <is>
          <t>WF 1047 - ZO01-Zonas 24H-ATM-AP:Disarm</t>
        </is>
      </c>
      <c r="M40" t="inlineStr">
        <is>
          <t>activación perimetral</t>
        </is>
      </c>
      <c r="N40" t="inlineStr">
        <is>
          <t>activación perimetral atm</t>
        </is>
      </c>
      <c r="O40" t="inlineStr">
        <is>
          <t>8538 C AEROPUERTO INTERNACIONAL MATECAÑA AT - 7120 - ATL - NCR</t>
        </is>
      </c>
      <c r="P40" t="inlineStr">
        <is>
          <t>Honeywell7810PC-7120-2-2</t>
        </is>
      </c>
      <c r="Q40" t="inlineStr">
        <is>
          <t>MAGNETICO CONTRATAPA INFERIOR CAJERO</t>
        </is>
      </c>
      <c r="R40" t="inlineStr">
        <is>
          <t>Honeywell</t>
        </is>
      </c>
      <c r="S40" t="n">
        <v>1</v>
      </c>
      <c r="T40" t="inlineStr">
        <is>
          <t>Laura Valentina Restrepo Jaramillo</t>
        </is>
      </c>
      <c r="U40" t="inlineStr">
        <is>
          <t>Mal manejo</t>
        </is>
      </c>
      <c r="V40" t="inlineStr">
        <is>
          <t>BRINKS</t>
        </is>
      </c>
      <c r="W40" t="inlineStr">
        <is>
          <t>ATLAS</t>
        </is>
      </c>
      <c r="X40">
        <f>EXACT(TRIM(UPPER(V40)), TRIM(UPPER(W40)))</f>
        <v/>
      </c>
      <c r="Y40" t="inlineStr"/>
      <c r="Z40" t="n">
        <v>5</v>
      </c>
      <c r="AA40" t="inlineStr">
        <is>
          <t>Oportuno</t>
        </is>
      </c>
      <c r="AB40" s="1" t="n">
        <v>46209.40041666666</v>
      </c>
      <c r="AC40" s="1" t="n">
        <v>46209.40047453704</v>
      </c>
      <c r="AD40" s="1" t="n">
        <v>46209.46137731482</v>
      </c>
      <c r="AE40" t="n">
        <v>5267</v>
      </c>
      <c r="AF40" t="inlineStr"/>
    </row>
    <row r="41">
      <c r="A41" t="inlineStr">
        <is>
          <t>55B99C36-42AE-4ACE-B90E-6BA4AD002813</t>
        </is>
      </c>
      <c r="B41" t="inlineStr">
        <is>
          <t>31D3FF8F-3C4D-4992-9D53-072FA8B4750E</t>
        </is>
      </c>
      <c r="C41" t="n">
        <v>7120</v>
      </c>
      <c r="D41" t="n">
        <v>8538</v>
      </c>
      <c r="E41" t="inlineStr">
        <is>
          <t>ATM</t>
        </is>
      </c>
      <c r="F41" t="inlineStr">
        <is>
          <t>SUR</t>
        </is>
      </c>
      <c r="G41" t="inlineStr">
        <is>
          <t>RISARALDA</t>
        </is>
      </c>
      <c r="H41" t="inlineStr">
        <is>
          <t>PEREIRA</t>
        </is>
      </c>
      <c r="I41" t="n">
        <v>0</v>
      </c>
      <c r="J41" t="n">
        <v>1</v>
      </c>
      <c r="K41" t="inlineStr">
        <is>
          <t>Alta</t>
        </is>
      </c>
      <c r="L41" t="inlineStr">
        <is>
          <t>WF 1047 - ZO01-Zonas 24H-ATM-AP:Disarm</t>
        </is>
      </c>
      <c r="M41" t="inlineStr">
        <is>
          <t>activación perimetral</t>
        </is>
      </c>
      <c r="N41" t="inlineStr">
        <is>
          <t>activación perimetral atm</t>
        </is>
      </c>
      <c r="O41" t="inlineStr">
        <is>
          <t>8538 C AEROPUERTO INTERNACIONAL MATECAÑA AT - 7120 - ATL - NCR</t>
        </is>
      </c>
      <c r="P41" t="inlineStr">
        <is>
          <t>Honeywell7810PC-7120-4-2</t>
        </is>
      </c>
      <c r="Q41" t="inlineStr">
        <is>
          <t xml:space="preserve">MICROSUICHE DIAL COFRE CAJERO </t>
        </is>
      </c>
      <c r="R41" t="inlineStr">
        <is>
          <t>Honeywell</t>
        </is>
      </c>
      <c r="S41" t="n">
        <v>0</v>
      </c>
      <c r="T41" t="inlineStr">
        <is>
          <t>Laura Valentina Restrepo Jaramillo</t>
        </is>
      </c>
      <c r="U41" t="inlineStr">
        <is>
          <t>Mal manejo</t>
        </is>
      </c>
      <c r="V41" t="inlineStr">
        <is>
          <t>BRINKS</t>
        </is>
      </c>
      <c r="W41" t="inlineStr">
        <is>
          <t>ATLAS</t>
        </is>
      </c>
      <c r="X41">
        <f>EXACT(TRIM(UPPER(V41)), TRIM(UPPER(W41)))</f>
        <v/>
      </c>
      <c r="Y41" t="inlineStr"/>
      <c r="Z41" t="n">
        <v>5</v>
      </c>
      <c r="AA41" t="inlineStr">
        <is>
          <t>Oportuno</t>
        </is>
      </c>
      <c r="AB41" s="1" t="n">
        <v>46209.40239583333</v>
      </c>
      <c r="AC41" s="1" t="n">
        <v>46209.4024537037</v>
      </c>
      <c r="AD41" s="1" t="n">
        <v>46209.46137731482</v>
      </c>
      <c r="AE41" t="n">
        <v>5096</v>
      </c>
      <c r="AF41" t="inlineStr"/>
    </row>
    <row r="42">
      <c r="A42" t="inlineStr">
        <is>
          <t>55B99C36-42AE-4ACE-B90E-6BA4AD002813</t>
        </is>
      </c>
      <c r="B42" t="inlineStr">
        <is>
          <t>1A09FD1A-4DE7-4971-A526-424914CCB018</t>
        </is>
      </c>
      <c r="C42" t="n">
        <v>7120</v>
      </c>
      <c r="D42" t="n">
        <v>8538</v>
      </c>
      <c r="E42" t="inlineStr">
        <is>
          <t>ATM</t>
        </is>
      </c>
      <c r="F42" t="inlineStr">
        <is>
          <t>SUR</t>
        </is>
      </c>
      <c r="G42" t="inlineStr">
        <is>
          <t>RISARALDA</t>
        </is>
      </c>
      <c r="H42" t="inlineStr">
        <is>
          <t>PEREIRA</t>
        </is>
      </c>
      <c r="I42" t="n">
        <v>0</v>
      </c>
      <c r="J42" t="n">
        <v>1</v>
      </c>
      <c r="K42" t="inlineStr">
        <is>
          <t>Alta</t>
        </is>
      </c>
      <c r="L42" t="inlineStr">
        <is>
          <t>WF 1047 - ZO01-Zonas 24H-ATM-AP:Disarm</t>
        </is>
      </c>
      <c r="M42" t="inlineStr">
        <is>
          <t>activación perimetral</t>
        </is>
      </c>
      <c r="N42" t="inlineStr">
        <is>
          <t>activación perimetral atm</t>
        </is>
      </c>
      <c r="O42" t="inlineStr">
        <is>
          <t>8538 C AEROPUERTO INTERNACIONAL MATECAÑA AT - 7120 - ATL - NCR</t>
        </is>
      </c>
      <c r="P42" t="inlineStr">
        <is>
          <t>Honeywell7810PC-7120-5-2</t>
        </is>
      </c>
      <c r="Q42" t="inlineStr">
        <is>
          <t xml:space="preserve">MAGNETICO COFRE CAJERO </t>
        </is>
      </c>
      <c r="R42" t="inlineStr">
        <is>
          <t>Honeywell</t>
        </is>
      </c>
      <c r="S42" t="n">
        <v>0</v>
      </c>
      <c r="T42" t="inlineStr">
        <is>
          <t>Laura Valentina Restrepo Jaramillo</t>
        </is>
      </c>
      <c r="U42" t="inlineStr">
        <is>
          <t>Mal manejo</t>
        </is>
      </c>
      <c r="V42" t="inlineStr">
        <is>
          <t>BRINKS</t>
        </is>
      </c>
      <c r="W42" t="inlineStr">
        <is>
          <t>ATLAS</t>
        </is>
      </c>
      <c r="X42">
        <f>EXACT(TRIM(UPPER(V42)), TRIM(UPPER(W42)))</f>
        <v/>
      </c>
      <c r="Y42" t="inlineStr"/>
      <c r="Z42" t="n">
        <v>6</v>
      </c>
      <c r="AA42" t="inlineStr">
        <is>
          <t>Oportuno</t>
        </is>
      </c>
      <c r="AB42" s="1" t="n">
        <v>46209.4028587963</v>
      </c>
      <c r="AC42" s="1" t="n">
        <v>46209.40292824074</v>
      </c>
      <c r="AD42" s="1" t="n">
        <v>46209.46137731482</v>
      </c>
      <c r="AE42" t="n">
        <v>5056</v>
      </c>
      <c r="AF42" t="inlineStr">
        <is>
          <t>[2026-07-06 09:40:16] Laura Valentina Restrepo Jaramillo: [SOP:1] Validando Video ✅ [SOP:2] Enviando Reacción ✅ [SOP:3] Documentando ✅</t>
        </is>
      </c>
    </row>
    <row r="43">
      <c r="A43" t="inlineStr">
        <is>
          <t>27065313-C735-405C-93C7-470248868A35</t>
        </is>
      </c>
      <c r="B43" t="inlineStr">
        <is>
          <t>E0168502-BF74-47AE-961A-E104C3FD03E7</t>
        </is>
      </c>
      <c r="C43" t="n">
        <v>7491</v>
      </c>
      <c r="D43" t="n">
        <v>7803</v>
      </c>
      <c r="E43" t="inlineStr">
        <is>
          <t>ATM</t>
        </is>
      </c>
      <c r="F43" t="inlineStr">
        <is>
          <t>ANTIOQUIA</t>
        </is>
      </c>
      <c r="G43" t="inlineStr">
        <is>
          <t>ANTIOQUIA</t>
        </is>
      </c>
      <c r="H43" t="inlineStr">
        <is>
          <t>RIONEGRO</t>
        </is>
      </c>
      <c r="I43" t="n">
        <v>1</v>
      </c>
      <c r="J43" t="n">
        <v>1</v>
      </c>
      <c r="K43" t="inlineStr">
        <is>
          <t>Alta</t>
        </is>
      </c>
      <c r="L43" t="inlineStr">
        <is>
          <t>WF 1047 - ZO01-Zonas 24H-ATM-AP:Disarm</t>
        </is>
      </c>
      <c r="M43" t="inlineStr">
        <is>
          <t>activación perimetral</t>
        </is>
      </c>
      <c r="N43" t="inlineStr">
        <is>
          <t>activación perimetral atm</t>
        </is>
      </c>
      <c r="O43" t="inlineStr">
        <is>
          <t>7803 C MULTIFUNCIONAL SAN NICOLAS RIONEGRO - 7491 - BK - DIEBOLD</t>
        </is>
      </c>
      <c r="P43" t="inlineStr">
        <is>
          <t>Honeywell7810PC-7491-62-7</t>
        </is>
      </c>
      <c r="Q43" t="inlineStr">
        <is>
          <t xml:space="preserve">MAGNETICO CONTRATAPA INFERIOR CAJERO </t>
        </is>
      </c>
      <c r="R43" t="inlineStr">
        <is>
          <t>Honeywell</t>
        </is>
      </c>
      <c r="S43" t="n">
        <v>0</v>
      </c>
      <c r="T43" t="inlineStr">
        <is>
          <t>Laura Valentina Restrepo Jaramillo</t>
        </is>
      </c>
      <c r="U43" t="inlineStr">
        <is>
          <t>Mal manejo</t>
        </is>
      </c>
      <c r="V43" t="inlineStr">
        <is>
          <t>TRANSBANK</t>
        </is>
      </c>
      <c r="W43" t="inlineStr">
        <is>
          <t>BRINKS</t>
        </is>
      </c>
      <c r="X43">
        <f>EXACT(TRIM(UPPER(V43)), TRIM(UPPER(W43)))</f>
        <v/>
      </c>
      <c r="Y43" t="inlineStr"/>
      <c r="Z43" t="n">
        <v>5</v>
      </c>
      <c r="AA43" t="inlineStr">
        <is>
          <t>Oportuno</t>
        </is>
      </c>
      <c r="AB43" s="1" t="n">
        <v>46209.42798611111</v>
      </c>
      <c r="AC43" s="1" t="n">
        <v>46209.42804398148</v>
      </c>
      <c r="AD43" s="1" t="n">
        <v>46209.45988425926</v>
      </c>
      <c r="AE43" t="n">
        <v>2756</v>
      </c>
      <c r="AF43" t="inlineStr">
        <is>
          <t>[2026-07-06 10:17:26] Laura Valentina Restrepo Jaramillo: [SOP:1] Validando Video ✅ [SOP:2] Enviando Reacción ✅ [SOP:3] Documentando ✅ || [2026-07-06 10:17:51] Laura Valentina Restrepo Jaramillo: Se verifica por video cámara relacionada en tiempo real, TDV en el punto en aparente normalidad tbs || [2026-07-06 10:17:53] Laura Valentina Restrepo Jaramillo: Activación generada por desarme inoportuno</t>
        </is>
      </c>
    </row>
    <row r="44">
      <c r="A44" t="inlineStr">
        <is>
          <t>52B7EEB9-9A31-4F1E-BAE1-F5C80468BCA6</t>
        </is>
      </c>
      <c r="B44" t="inlineStr">
        <is>
          <t>870E6AB7-5BFA-43E6-842A-5A58351C8128</t>
        </is>
      </c>
      <c r="C44" t="n">
        <v>7670</v>
      </c>
      <c r="D44" t="n">
        <v>9933</v>
      </c>
      <c r="E44" t="inlineStr">
        <is>
          <t>ATM</t>
        </is>
      </c>
      <c r="F44" t="inlineStr">
        <is>
          <t>BOG Y SABANA</t>
        </is>
      </c>
      <c r="G44" t="inlineStr">
        <is>
          <t>CUNDINAMARCA</t>
        </is>
      </c>
      <c r="H44" t="inlineStr">
        <is>
          <t>CAJICÁ</t>
        </is>
      </c>
      <c r="I44" t="n">
        <v>1</v>
      </c>
      <c r="J44" t="n">
        <v>1</v>
      </c>
      <c r="K44" t="inlineStr">
        <is>
          <t>Alta</t>
        </is>
      </c>
      <c r="L44" t="inlineStr">
        <is>
          <t>WF 1047 - ZO01-Zonas 24H-ATM-AP:Disarm</t>
        </is>
      </c>
      <c r="M44" t="inlineStr">
        <is>
          <t>activación perimetral</t>
        </is>
      </c>
      <c r="N44" t="inlineStr">
        <is>
          <t>activación perimetral atm</t>
        </is>
      </c>
      <c r="O44" t="inlineStr">
        <is>
          <t>9933 C CAJICA - 7670 - DIEBOLD - ATL</t>
        </is>
      </c>
      <c r="P44" t="inlineStr">
        <is>
          <t>SGIII-7670-10-2</t>
        </is>
      </c>
      <c r="Q44" t="inlineStr">
        <is>
          <t xml:space="preserve">MAGNETICO TIPO PESADO CAJERO </t>
        </is>
      </c>
      <c r="R44" t="inlineStr">
        <is>
          <t>SGIII</t>
        </is>
      </c>
      <c r="S44" t="n">
        <v>0</v>
      </c>
      <c r="T44" t="inlineStr">
        <is>
          <t>kelly aguirre</t>
        </is>
      </c>
      <c r="U44" t="inlineStr">
        <is>
          <t>Mal manejo</t>
        </is>
      </c>
      <c r="V44" t="inlineStr">
        <is>
          <t>TRANSBANK</t>
        </is>
      </c>
      <c r="W44" t="inlineStr">
        <is>
          <t>ATLAS</t>
        </is>
      </c>
      <c r="X44">
        <f>EXACT(TRIM(UPPER(V44)), TRIM(UPPER(W44)))</f>
        <v/>
      </c>
      <c r="Y44" t="inlineStr"/>
      <c r="Z44" t="n">
        <v>4</v>
      </c>
      <c r="AA44" t="inlineStr">
        <is>
          <t>Oportuno</t>
        </is>
      </c>
      <c r="AB44" s="1" t="n">
        <v>46210.46416666666</v>
      </c>
      <c r="AC44" s="1" t="n">
        <v>46210.46421296296</v>
      </c>
      <c r="AD44" s="1" t="n">
        <v>46210.47116898148</v>
      </c>
      <c r="AE44" t="n">
        <v>605</v>
      </c>
      <c r="AF44" t="inlineStr">
        <is>
          <t>[2026-07-07 11:10:38] kelly aguirre: [SOP:1] Validando Video ✅ [SOP:2] Enviando Reacción ✅ [SOP:3] Documentando ✅ || [2026-07-07 11:14:30] kelly aguirre: Por video se observa al momento de la     activación que en el punto esta TDV TBS || [2026-07-07 11:14:39] kelly aguirre: PERSONAL DE LA TDV EN SITIO NO REALIZA BYPASS DE LA ZONA EN ACTIVACION LA CUAL OCASIONA ACTIVACIONES</t>
        </is>
      </c>
    </row>
    <row r="45">
      <c r="A45" t="inlineStr">
        <is>
          <t>52B7EEB9-9A31-4F1E-BAE1-F5C80468BCA6</t>
        </is>
      </c>
      <c r="B45" t="inlineStr">
        <is>
          <t>9F1220E4-9787-4A0E-93E2-0DA797EAE5DC</t>
        </is>
      </c>
      <c r="C45" t="n">
        <v>7670</v>
      </c>
      <c r="D45" t="n">
        <v>9933</v>
      </c>
      <c r="E45" t="inlineStr">
        <is>
          <t>ATM</t>
        </is>
      </c>
      <c r="F45" t="inlineStr">
        <is>
          <t>BOG Y SABANA</t>
        </is>
      </c>
      <c r="G45" t="inlineStr">
        <is>
          <t>CUNDINAMARCA</t>
        </is>
      </c>
      <c r="H45" t="inlineStr">
        <is>
          <t>CAJICÁ</t>
        </is>
      </c>
      <c r="I45" t="n">
        <v>0</v>
      </c>
      <c r="J45" t="n">
        <v>1</v>
      </c>
      <c r="K45" t="inlineStr">
        <is>
          <t>Alta</t>
        </is>
      </c>
      <c r="L45" t="inlineStr">
        <is>
          <t>WF 1047 - ZO01-Zonas 24H-ATM-AP:Disarm</t>
        </is>
      </c>
      <c r="M45" t="inlineStr">
        <is>
          <t>activación perimetral</t>
        </is>
      </c>
      <c r="N45" t="inlineStr">
        <is>
          <t>activación perimetral atm</t>
        </is>
      </c>
      <c r="O45" t="inlineStr">
        <is>
          <t>9933 C SUCURSAL CAJICA 6 - 7670 - DIEBOLD - ATL</t>
        </is>
      </c>
      <c r="P45" t="inlineStr">
        <is>
          <t>SGIII-7670-1-2</t>
        </is>
      </c>
      <c r="Q45" t="inlineStr">
        <is>
          <t>MAGNETICO TAPA INFERIOR CAJERO</t>
        </is>
      </c>
      <c r="R45" t="inlineStr">
        <is>
          <t>SGIII</t>
        </is>
      </c>
      <c r="S45" t="n">
        <v>0</v>
      </c>
      <c r="T45" t="inlineStr">
        <is>
          <t>kelly aguirre</t>
        </is>
      </c>
      <c r="U45" t="inlineStr">
        <is>
          <t>Mal manejo</t>
        </is>
      </c>
      <c r="V45" t="inlineStr">
        <is>
          <t>TRANSBANK</t>
        </is>
      </c>
      <c r="W45" t="inlineStr">
        <is>
          <t>ATLAS</t>
        </is>
      </c>
      <c r="X45">
        <f>EXACT(TRIM(UPPER(V45)), TRIM(UPPER(W45)))</f>
        <v/>
      </c>
      <c r="Y45" t="inlineStr"/>
      <c r="Z45" t="n">
        <v>5</v>
      </c>
      <c r="AA45" t="inlineStr">
        <is>
          <t>Oportuno</t>
        </is>
      </c>
      <c r="AB45" s="1" t="n">
        <v>46210.46651620371</v>
      </c>
      <c r="AC45" s="1" t="n">
        <v>46210.46657407407</v>
      </c>
      <c r="AD45" s="1" t="n">
        <v>46210.47116898148</v>
      </c>
      <c r="AE45" t="n">
        <v>402</v>
      </c>
      <c r="AF45" t="inlineStr"/>
    </row>
    <row r="46">
      <c r="A46" t="inlineStr">
        <is>
          <t>52B7EEB9-9A31-4F1E-BAE1-F5C80468BCA6</t>
        </is>
      </c>
      <c r="B46" t="inlineStr">
        <is>
          <t>651A511D-19C4-4ECD-A166-61E97E88FE9C</t>
        </is>
      </c>
      <c r="C46" t="n">
        <v>7670</v>
      </c>
      <c r="D46" t="n">
        <v>9933</v>
      </c>
      <c r="E46" t="inlineStr">
        <is>
          <t>ATM</t>
        </is>
      </c>
      <c r="F46" t="inlineStr">
        <is>
          <t>BOG Y SABANA</t>
        </is>
      </c>
      <c r="G46" t="inlineStr">
        <is>
          <t>CUNDINAMARCA</t>
        </is>
      </c>
      <c r="H46" t="inlineStr">
        <is>
          <t>CAJICÁ</t>
        </is>
      </c>
      <c r="I46" t="n">
        <v>0</v>
      </c>
      <c r="J46" t="n">
        <v>1</v>
      </c>
      <c r="K46" t="inlineStr">
        <is>
          <t>Alta</t>
        </is>
      </c>
      <c r="L46" t="inlineStr">
        <is>
          <t>WF 1047 - ZO01-Zonas 24H-ATM-AP:Disarm</t>
        </is>
      </c>
      <c r="M46" t="inlineStr">
        <is>
          <t>activación perimetral</t>
        </is>
      </c>
      <c r="N46" t="inlineStr">
        <is>
          <t>activación perimetral atm</t>
        </is>
      </c>
      <c r="O46" t="inlineStr">
        <is>
          <t>9933 C CAJICA - 7670 - DIEBOLD - ATL</t>
        </is>
      </c>
      <c r="P46" t="inlineStr">
        <is>
          <t>SGIII-7670-2-2</t>
        </is>
      </c>
      <c r="Q46" t="inlineStr">
        <is>
          <t xml:space="preserve">MAGNETICO FASCIA SUPERIOR CAJERO </t>
        </is>
      </c>
      <c r="R46" t="inlineStr">
        <is>
          <t>SGIII</t>
        </is>
      </c>
      <c r="S46" t="n">
        <v>0</v>
      </c>
      <c r="T46" t="inlineStr">
        <is>
          <t>kelly aguirre</t>
        </is>
      </c>
      <c r="U46" t="inlineStr">
        <is>
          <t>Mal manejo</t>
        </is>
      </c>
      <c r="V46" t="inlineStr">
        <is>
          <t>TRANSBANK</t>
        </is>
      </c>
      <c r="W46" t="inlineStr">
        <is>
          <t>ATLAS</t>
        </is>
      </c>
      <c r="X46">
        <f>EXACT(TRIM(UPPER(V46)), TRIM(UPPER(W46)))</f>
        <v/>
      </c>
      <c r="Y46" t="inlineStr"/>
      <c r="Z46" t="n">
        <v>3</v>
      </c>
      <c r="AA46" t="inlineStr">
        <is>
          <t>Oportuno</t>
        </is>
      </c>
      <c r="AB46" s="1" t="n">
        <v>46210.46653935185</v>
      </c>
      <c r="AC46" s="1" t="n">
        <v>46210.46657407407</v>
      </c>
      <c r="AD46" s="1" t="n">
        <v>46210.47116898148</v>
      </c>
      <c r="AE46" t="n">
        <v>400</v>
      </c>
      <c r="AF46" t="inlineStr"/>
    </row>
    <row r="47">
      <c r="A47" t="inlineStr">
        <is>
          <t>A75EC66A-FCB8-4909-9AE3-9CF2348343F4</t>
        </is>
      </c>
      <c r="B47" t="inlineStr">
        <is>
          <t>D1767DFE-AF40-486E-8BA7-D7245C08427D</t>
        </is>
      </c>
      <c r="C47" t="n">
        <v>8009</v>
      </c>
      <c r="D47" t="n">
        <v>5621</v>
      </c>
      <c r="E47" t="inlineStr">
        <is>
          <t>ATM</t>
        </is>
      </c>
      <c r="F47" t="inlineStr">
        <is>
          <t>BOG Y SABANA</t>
        </is>
      </c>
      <c r="G47" t="inlineStr">
        <is>
          <t>CUNDINAMARCA</t>
        </is>
      </c>
      <c r="H47" t="inlineStr">
        <is>
          <t>BOGOTÁ, D.C.</t>
        </is>
      </c>
      <c r="I47" t="n">
        <v>1</v>
      </c>
      <c r="J47" t="n">
        <v>1</v>
      </c>
      <c r="K47" t="inlineStr">
        <is>
          <t>Alta</t>
        </is>
      </c>
      <c r="L47" t="inlineStr">
        <is>
          <t>WF 1051 - ZO03-Zonas de Fuego</t>
        </is>
      </c>
      <c r="M47" t="inlineStr">
        <is>
          <t>zonas de fuego</t>
        </is>
      </c>
      <c r="N47" t="inlineStr">
        <is>
          <t>act. urg.- zonas de fuego</t>
        </is>
      </c>
      <c r="O47" t="inlineStr">
        <is>
          <t>5621 C CC TREBOLIS EL PORVENIR S - 8009 - TBS - DIEBOLD</t>
        </is>
      </c>
      <c r="P47" t="inlineStr">
        <is>
          <t>SGIII-8009-2-1</t>
        </is>
      </c>
      <c r="Q47" t="inlineStr">
        <is>
          <t>HUMO ESTUCHE CAJERO</t>
        </is>
      </c>
      <c r="R47" t="inlineStr">
        <is>
          <t>SGIII</t>
        </is>
      </c>
      <c r="S47" t="n">
        <v>0</v>
      </c>
      <c r="T47" t="inlineStr">
        <is>
          <t>Neidy Martínez</t>
        </is>
      </c>
      <c r="U47" t="inlineStr">
        <is>
          <t>Mal manejo</t>
        </is>
      </c>
      <c r="V47" t="inlineStr">
        <is>
          <t>NCR</t>
        </is>
      </c>
      <c r="W47" t="inlineStr">
        <is>
          <t>DIEBOLD</t>
        </is>
      </c>
      <c r="X47">
        <f>EXACT(TRIM(UPPER(V47)), TRIM(UPPER(W47)))</f>
        <v/>
      </c>
      <c r="Y47" t="inlineStr"/>
      <c r="Z47" t="n">
        <v>9</v>
      </c>
      <c r="AA47" t="inlineStr">
        <is>
          <t>Oportuno</t>
        </is>
      </c>
      <c r="AB47" s="1" t="n">
        <v>46210.64456018519</v>
      </c>
      <c r="AC47" s="1" t="n">
        <v>46210.64466435185</v>
      </c>
      <c r="AD47" s="1" t="n">
        <v>46210.64818287037</v>
      </c>
      <c r="AE47" t="n">
        <v>313</v>
      </c>
      <c r="AF47" t="inlineStr">
        <is>
          <t>[2026-07-07 15:28:26] Neidy Martínez: [SOP:1] Validando Video ✅ [SOP:2] Enviando Reacción ✅ [SOP:3] Documentando ✅ || [2026-07-07 15:29:25] Neidy Martínez: Se valida por video command se observan técnicos DIEBOLD en el sitio   Mal manejo, personal no desarma ni bypassea la zona || [2026-07-07 15:33:04] Neidy Martínez: 7/7/2026, 3:30:30 p. m. SGIII-8009-2-1 BH Restaure de zona 0002 Sin verificación de - Restaure Alarma de Robo 5621 C CC TREBOLIS EL PORVENIR S - 8009 - TBS - DIEBOLD HUMO ESTUCHE CAJERO Normal</t>
        </is>
      </c>
    </row>
    <row r="48">
      <c r="A48" t="inlineStr">
        <is>
          <t>CE7C93D9-7ED9-4191-A02C-AEB234E81CF7</t>
        </is>
      </c>
      <c r="B48" t="inlineStr">
        <is>
          <t>2892FB89-44CE-4A08-BA6B-E5FD75311F72</t>
        </is>
      </c>
      <c r="C48" t="n">
        <v>8407</v>
      </c>
      <c r="D48" t="n">
        <v>4150</v>
      </c>
      <c r="E48" t="inlineStr">
        <is>
          <t>ATM</t>
        </is>
      </c>
      <c r="F48" t="inlineStr">
        <is>
          <t>BOG Y SABANA</t>
        </is>
      </c>
      <c r="G48" t="inlineStr">
        <is>
          <t>CUNDINAMARCA</t>
        </is>
      </c>
      <c r="H48" t="inlineStr">
        <is>
          <t>BOGOTÁ, D.C.</t>
        </is>
      </c>
      <c r="I48" t="n">
        <v>1</v>
      </c>
      <c r="J48" t="n">
        <v>1</v>
      </c>
      <c r="K48" t="inlineStr">
        <is>
          <t>Alta</t>
        </is>
      </c>
      <c r="L48" t="inlineStr">
        <is>
          <t>WF 1047 - ZO01-Zonas 24H-ATM-AP:Disarm</t>
        </is>
      </c>
      <c r="M48" t="inlineStr">
        <is>
          <t>activación perimetral</t>
        </is>
      </c>
      <c r="N48" t="inlineStr">
        <is>
          <t>activación perimetral atm</t>
        </is>
      </c>
      <c r="O48" t="inlineStr">
        <is>
          <t>4150 C FONDO NACIONAL DEL AHORRO - 8407 - VT - DIEBOLD</t>
        </is>
      </c>
      <c r="P48" t="inlineStr">
        <is>
          <t>SGIII-8407-12-2</t>
        </is>
      </c>
      <c r="Q48" t="inlineStr">
        <is>
          <t>MICROSUICHE CONTRATAPA MECANISMOS CAJERO</t>
        </is>
      </c>
      <c r="R48" t="inlineStr">
        <is>
          <t>SGIII</t>
        </is>
      </c>
      <c r="S48" t="n">
        <v>0</v>
      </c>
      <c r="T48" t="inlineStr">
        <is>
          <t>Adier Cuitiva Mayo</t>
        </is>
      </c>
      <c r="U48" t="inlineStr">
        <is>
          <t>Mal manejo</t>
        </is>
      </c>
      <c r="V48" t="inlineStr">
        <is>
          <t>ATLAS</t>
        </is>
      </c>
      <c r="W48" t="inlineStr">
        <is>
          <t>VATCO</t>
        </is>
      </c>
      <c r="X48">
        <f>EXACT(TRIM(UPPER(V48)), TRIM(UPPER(W48)))</f>
        <v/>
      </c>
      <c r="Y48" t="inlineStr"/>
      <c r="Z48" t="n">
        <v>7</v>
      </c>
      <c r="AA48" t="inlineStr">
        <is>
          <t>Oportuno</t>
        </is>
      </c>
      <c r="AB48" s="1" t="n">
        <v>46211.37520833333</v>
      </c>
      <c r="AC48" s="1" t="n">
        <v>46211.37528935185</v>
      </c>
      <c r="AD48" s="1" t="n">
        <v>46211.46721064814</v>
      </c>
      <c r="AE48" t="n">
        <v>7949</v>
      </c>
      <c r="AF48" t="inlineStr">
        <is>
          <t>[2026-07-08 09:05:42] Adier Cuitiva Mayo: [SOP:1] Validando Video ✅ [SOP:2] Enviando Reacción ✅ [SOP:3] Documentando ✅ || [2026-07-08 09:06:27] Adier Cuitiva Mayo: Se verifica por video cámara relacionada en tiempo real, TDV VT en el punto en aparente normalidad || [2026-07-08 09:06:42] Adier Cuitiva Mayo: Activación generada por desarme inoportuno</t>
        </is>
      </c>
    </row>
    <row r="49">
      <c r="A49" t="inlineStr">
        <is>
          <t>CA89E80A-B81C-4C07-A5A2-7D23EE987E16</t>
        </is>
      </c>
      <c r="B49" t="inlineStr">
        <is>
          <t>D326EFA3-9528-458A-A0BD-38F0A8A05EEB</t>
        </is>
      </c>
      <c r="C49" t="n">
        <v>5494</v>
      </c>
      <c r="D49" t="n">
        <v>1126</v>
      </c>
      <c r="E49" t="inlineStr">
        <is>
          <t>ATM</t>
        </is>
      </c>
      <c r="F49" t="inlineStr">
        <is>
          <t>BOG Y SABANA</t>
        </is>
      </c>
      <c r="G49" t="inlineStr">
        <is>
          <t>CUNDINAMARCA</t>
        </is>
      </c>
      <c r="H49" t="inlineStr">
        <is>
          <t>BOGOTÁ D.C.</t>
        </is>
      </c>
      <c r="I49" t="n">
        <v>1</v>
      </c>
      <c r="J49" t="n">
        <v>1</v>
      </c>
      <c r="K49" t="inlineStr">
        <is>
          <t>Alta</t>
        </is>
      </c>
      <c r="L49" t="inlineStr">
        <is>
          <t>WF 1047 - ZO01-Zonas 24H-ATM-AP:Disarm</t>
        </is>
      </c>
      <c r="M49" t="inlineStr">
        <is>
          <t>activación perimetral</t>
        </is>
      </c>
      <c r="N49" t="inlineStr">
        <is>
          <t>activación perimetral atm</t>
        </is>
      </c>
      <c r="O49" t="inlineStr">
        <is>
          <t>1126 C HALL CC GRAN PLAZA BOSA - 5494</t>
        </is>
      </c>
      <c r="P49" t="inlineStr">
        <is>
          <t>SGIII-5494-56-8</t>
        </is>
      </c>
      <c r="Q49" t="inlineStr">
        <is>
          <t>MAGNETICO FASCIA SUPERIOR CAJERO</t>
        </is>
      </c>
      <c r="R49" t="inlineStr">
        <is>
          <t>SGIII</t>
        </is>
      </c>
      <c r="S49" t="n">
        <v>0</v>
      </c>
      <c r="T49" t="inlineStr">
        <is>
          <t>JHON DAIRO ESCOBAR GARCIA</t>
        </is>
      </c>
      <c r="U49" t="inlineStr">
        <is>
          <t>Mal manejo (Reacción)</t>
        </is>
      </c>
      <c r="V49" t="inlineStr">
        <is>
          <t>ATLAS</t>
        </is>
      </c>
      <c r="W49" t="inlineStr"/>
      <c r="X49">
        <f>EXACT(TRIM(UPPER(V49)), TRIM(UPPER(W49)))</f>
        <v/>
      </c>
      <c r="Y49" t="inlineStr"/>
      <c r="Z49" t="n">
        <v>8</v>
      </c>
      <c r="AA49" t="inlineStr">
        <is>
          <t>Oportuno</t>
        </is>
      </c>
      <c r="AB49" s="1" t="n">
        <v>46211.59497685185</v>
      </c>
      <c r="AC49" s="1" t="n">
        <v>46211.59506944445</v>
      </c>
      <c r="AD49" s="1" t="n">
        <v>46211.62721064815</v>
      </c>
      <c r="AE49" t="n">
        <v>2785</v>
      </c>
      <c r="AF49" t="inlineStr">
        <is>
          <t>[2026-07-08 14:17:30] JHON DAIRO ESCOBAR GARCIA: [SOP:1] Validando Video ✅ [SOP:2] Enviando Reacción ✅ [SOP:3] Documentando ✅ || [2026-07-08 14:18:01] JHON DAIRO ESCOBAR GARCIA: 8/7/2026, 2:16:43 p. m. SGIII-5494-8 CL Particion armada 61 Sin verificación de - Reporte de Cierre Normal - 61 ATLAS 1126 C HALL CC GRAN PLAZA BOSA - 5494 PARTICION 8 || [2026-07-08 14:23:56] JHON DAIRO ESCOBAR GARCIA: CRISTIAN DAVID PULIDO VANEGAS  GAM - 1.077.320.514 Disponible  3502477877 || [2026-07-08 14:24:28] JHON DAIRO ESCOBAR GARCIA: Enterado || [2026-07-08 15:02:49] JUAN RODOLFO VASQUEZ ALZATE: GAM JOHN HUERTAS  PASA REVISTA ENCUENTRA PERSONAL DE TDV ATLAS EN SERVICIO TECNICO TODO BIEN CERRADO Y AJUSTADO, OPERATIVO, ENERGIA ESTABLE, SIN SEÑALES DE VANDALISMO, SIN OLORES NI RUIDOS EXTRAÑOS, SIN OBRAS ALEDAÑAS, ALREDEDORES Y PERIMETRO SIN NOVEDAD, EL RESTO N2 A LA HORA</t>
        </is>
      </c>
    </row>
    <row r="50">
      <c r="A50" t="inlineStr">
        <is>
          <t>CA89E80A-B81C-4C07-A5A2-7D23EE987E16</t>
        </is>
      </c>
      <c r="B50" t="inlineStr">
        <is>
          <t>9958268A-4787-434D-8421-DBCC5A407D01</t>
        </is>
      </c>
      <c r="C50" t="n">
        <v>5494</v>
      </c>
      <c r="D50" t="n">
        <v>1126</v>
      </c>
      <c r="E50" t="inlineStr">
        <is>
          <t>ATM</t>
        </is>
      </c>
      <c r="F50" t="inlineStr">
        <is>
          <t>BOG Y SABANA</t>
        </is>
      </c>
      <c r="G50" t="inlineStr">
        <is>
          <t>CUNDINAMARCA</t>
        </is>
      </c>
      <c r="H50" t="inlineStr">
        <is>
          <t>BOGOTÁ D.C.</t>
        </is>
      </c>
      <c r="I50" t="n">
        <v>0</v>
      </c>
      <c r="J50" t="n">
        <v>1</v>
      </c>
      <c r="K50" t="inlineStr">
        <is>
          <t>Alta</t>
        </is>
      </c>
      <c r="L50" t="inlineStr">
        <is>
          <t>WF 1047 - ZO01-Zonas 24H-ATM-AP:Disarm</t>
        </is>
      </c>
      <c r="M50" t="inlineStr">
        <is>
          <t>activación perimetral</t>
        </is>
      </c>
      <c r="N50" t="inlineStr">
        <is>
          <t>activación perimetral atm</t>
        </is>
      </c>
      <c r="O50" t="inlineStr">
        <is>
          <t>1126 C HALL CC GRAN PLAZA BOSA - 5494</t>
        </is>
      </c>
      <c r="P50" t="inlineStr">
        <is>
          <t>SGIII-5494-55-8</t>
        </is>
      </c>
      <c r="Q50" t="inlineStr">
        <is>
          <t>MAGNETICO CONTRATAPA INFERIOR CAJERO</t>
        </is>
      </c>
      <c r="R50" t="inlineStr">
        <is>
          <t>SGIII</t>
        </is>
      </c>
      <c r="S50" t="n">
        <v>0</v>
      </c>
      <c r="T50" t="inlineStr">
        <is>
          <t>JHON DAIRO ESCOBAR GARCIA</t>
        </is>
      </c>
      <c r="U50" t="inlineStr">
        <is>
          <t>Mal manejo (Reacción)</t>
        </is>
      </c>
      <c r="V50" t="inlineStr">
        <is>
          <t>ATLAS</t>
        </is>
      </c>
      <c r="W50" t="inlineStr"/>
      <c r="X50">
        <f>EXACT(TRIM(UPPER(V50)), TRIM(UPPER(W50)))</f>
        <v/>
      </c>
      <c r="Y50" t="inlineStr"/>
      <c r="Z50" t="n">
        <v>9</v>
      </c>
      <c r="AA50" t="inlineStr">
        <is>
          <t>Oportuno</t>
        </is>
      </c>
      <c r="AB50" s="1" t="n">
        <v>46211.59520833333</v>
      </c>
      <c r="AC50" s="1" t="n">
        <v>46211.5953125</v>
      </c>
      <c r="AD50" s="1" t="n">
        <v>46211.62637731482</v>
      </c>
      <c r="AE50" t="n">
        <v>2693</v>
      </c>
      <c r="AF50" t="inlineStr">
        <is>
          <t>[2026-07-08 15:00:14] JUAN RODOLFO VASQUEZ ALZATE: GAM JOHN HUERTAS  PASA REVISTA ENCUENTRA PERSONAL DE TDV ATLAS EN SERVICIO TECNICO TODO BIEN CERRADO Y AJUSTADO, OPERATIVO, ENERGIA ESTABLE, SIN SEÑALES DE VANDALISMO, SIN OLORES NI RUIDOS EXTRAÑOS, SIN OBRAS ALEDAÑAS, ALREDEDORES Y PERIMETRO SIN NOVEDAD, EL RESTO N2 A LA HORA</t>
        </is>
      </c>
    </row>
    <row r="51">
      <c r="A51" t="inlineStr">
        <is>
          <t>CA89E80A-B81C-4C07-A5A2-7D23EE987E16</t>
        </is>
      </c>
      <c r="B51" t="inlineStr">
        <is>
          <t>C9DB836E-56CB-4012-96E2-D4A44846539A</t>
        </is>
      </c>
      <c r="C51" t="n">
        <v>5494</v>
      </c>
      <c r="D51" t="n">
        <v>1126</v>
      </c>
      <c r="E51" t="inlineStr">
        <is>
          <t>ATM</t>
        </is>
      </c>
      <c r="F51" t="inlineStr">
        <is>
          <t>BOG Y SABANA</t>
        </is>
      </c>
      <c r="G51" t="inlineStr">
        <is>
          <t>CUNDINAMARCA</t>
        </is>
      </c>
      <c r="H51" t="inlineStr">
        <is>
          <t>BOGOTÁ D.C.</t>
        </is>
      </c>
      <c r="I51" t="n">
        <v>0</v>
      </c>
      <c r="J51" t="n">
        <v>1</v>
      </c>
      <c r="K51" t="inlineStr">
        <is>
          <t>Alta</t>
        </is>
      </c>
      <c r="L51" t="inlineStr">
        <is>
          <t>WF 1047 - ZO01-Zonas 24H-ATM-AP:Disarm</t>
        </is>
      </c>
      <c r="M51" t="inlineStr">
        <is>
          <t>activación perimetral</t>
        </is>
      </c>
      <c r="N51" t="inlineStr">
        <is>
          <t>activación perimetral atm</t>
        </is>
      </c>
      <c r="O51" t="inlineStr">
        <is>
          <t>1126 C HALL CC GRAN PLAZA BOSA - 5494</t>
        </is>
      </c>
      <c r="P51" t="inlineStr">
        <is>
          <t>SGIII-5494-57-8</t>
        </is>
      </c>
      <c r="Q51" t="inlineStr">
        <is>
          <t>MICROSUICHE DIAL COFRE CAJERO</t>
        </is>
      </c>
      <c r="R51" t="inlineStr">
        <is>
          <t>SGIII</t>
        </is>
      </c>
      <c r="S51" t="n">
        <v>0</v>
      </c>
      <c r="T51" t="inlineStr">
        <is>
          <t>JHON DAIRO ESCOBAR GARCIA</t>
        </is>
      </c>
      <c r="U51" t="inlineStr">
        <is>
          <t>Mal manejo (Reacción)</t>
        </is>
      </c>
      <c r="V51" t="inlineStr">
        <is>
          <t>ATLAS</t>
        </is>
      </c>
      <c r="W51" t="inlineStr"/>
      <c r="X51">
        <f>EXACT(TRIM(UPPER(V51)), TRIM(UPPER(W51)))</f>
        <v/>
      </c>
      <c r="Y51" t="inlineStr"/>
      <c r="Z51" t="n">
        <v>4</v>
      </c>
      <c r="AA51" t="inlineStr">
        <is>
          <t>Oportuno</t>
        </is>
      </c>
      <c r="AB51" s="1" t="n">
        <v>46211.5978587963</v>
      </c>
      <c r="AC51" s="1" t="n">
        <v>46211.5979050926</v>
      </c>
      <c r="AD51" s="1" t="n">
        <v>46211.62666666666</v>
      </c>
      <c r="AE51" t="n">
        <v>2489</v>
      </c>
      <c r="AF51" t="inlineStr">
        <is>
          <t>[2026-07-08 15:02:11] JUAN RODOLFO VASQUEZ ALZATE: GAM JOHN HUERTAS  PASA REVISTA ENCUENTRA PERSONAL DE TDV ATLAS EN SERVICIO TECNICO TODO BIEN CERRADO Y AJUSTADO, OPERATIVO, ENERGIA ESTABLE, SIN SEÑALES DE VANDALISMO, SIN OLORES NI RUIDOS EXTRAÑOS, SIN OBRAS ALEDAÑAS, ALREDEDORES Y PERIMETRO SIN NOVEDAD, EL RESTO N2 A LA HORA</t>
        </is>
      </c>
    </row>
    <row r="52">
      <c r="A52" t="inlineStr">
        <is>
          <t>CA89E80A-B81C-4C07-A5A2-7D23EE987E16</t>
        </is>
      </c>
      <c r="B52" t="inlineStr">
        <is>
          <t>E7BF55E9-5EFB-4B67-9B87-FA5BCF9333BC</t>
        </is>
      </c>
      <c r="C52" t="n">
        <v>5494</v>
      </c>
      <c r="D52" t="n">
        <v>1126</v>
      </c>
      <c r="E52" t="inlineStr">
        <is>
          <t>ATM</t>
        </is>
      </c>
      <c r="F52" t="inlineStr">
        <is>
          <t>BOG Y SABANA</t>
        </is>
      </c>
      <c r="G52" t="inlineStr">
        <is>
          <t>CUNDINAMARCA</t>
        </is>
      </c>
      <c r="H52" t="inlineStr">
        <is>
          <t>BOGOTÁ D.C.</t>
        </is>
      </c>
      <c r="I52" t="n">
        <v>0</v>
      </c>
      <c r="J52" t="n">
        <v>1</v>
      </c>
      <c r="K52" t="inlineStr">
        <is>
          <t>Alta</t>
        </is>
      </c>
      <c r="L52" t="inlineStr">
        <is>
          <t>WF 1047 - ZO01-Zonas 24H-ATM-AP:Disarm</t>
        </is>
      </c>
      <c r="M52" t="inlineStr">
        <is>
          <t>activación perimetral</t>
        </is>
      </c>
      <c r="N52" t="inlineStr">
        <is>
          <t>activación perimetral atm</t>
        </is>
      </c>
      <c r="O52" t="inlineStr">
        <is>
          <t>1126 C HALL CC GRAN PLAZA BOSA - 5494</t>
        </is>
      </c>
      <c r="P52" t="inlineStr">
        <is>
          <t>SGIII-5494-58-8</t>
        </is>
      </c>
      <c r="Q52" t="inlineStr">
        <is>
          <t>MAGNETICO COFRE CAJERO</t>
        </is>
      </c>
      <c r="R52" t="inlineStr">
        <is>
          <t>SGIII</t>
        </is>
      </c>
      <c r="S52" t="n">
        <v>0</v>
      </c>
      <c r="T52" t="inlineStr">
        <is>
          <t>JHON DAIRO ESCOBAR GARCIA</t>
        </is>
      </c>
      <c r="U52" t="inlineStr">
        <is>
          <t>Mal manejo</t>
        </is>
      </c>
      <c r="V52" t="inlineStr">
        <is>
          <t>ATLAS</t>
        </is>
      </c>
      <c r="W52" t="inlineStr"/>
      <c r="X52">
        <f>EXACT(TRIM(UPPER(V52)), TRIM(UPPER(W52)))</f>
        <v/>
      </c>
      <c r="Y52" t="inlineStr"/>
      <c r="Z52" t="n">
        <v>8</v>
      </c>
      <c r="AA52" t="inlineStr">
        <is>
          <t>Oportuno</t>
        </is>
      </c>
      <c r="AB52" s="1" t="n">
        <v>46211.59789351852</v>
      </c>
      <c r="AC52" s="1" t="n">
        <v>46211.59798611111</v>
      </c>
      <c r="AD52" s="1" t="n">
        <v>46211.62690972222</v>
      </c>
      <c r="AE52" t="n">
        <v>2507</v>
      </c>
      <c r="AF52" t="inlineStr">
        <is>
          <t>[2026-07-08 15:02:31] JUAN RODOLFO VASQUEZ ALZATE: GAM JOHN HUERTAS  PASA REVISTA ENCUENTRA PERSONAL DE TDV ATLAS EN SERVICIO TECNICO TODO BIEN CERRADO Y AJUSTADO, OPERATIVO, ENERGIA ESTABLE, SIN SEÑALES DE VANDALISMO, SIN OLORES NI RUIDOS EXTRAÑOS, SIN OBRAS ALEDAÑAS, ALREDEDORES Y PERIMETRO SIN NOVEDAD, EL RESTO N2 A LA HORA</t>
        </is>
      </c>
    </row>
    <row r="53">
      <c r="A53" t="inlineStr">
        <is>
          <t>8D31DFD7-4693-4988-A2B8-A1522474C45A</t>
        </is>
      </c>
      <c r="B53" t="inlineStr">
        <is>
          <t>90D0D3E4-B9B6-4A26-96F3-E0FA4169A34A</t>
        </is>
      </c>
      <c r="C53" t="n">
        <v>7609</v>
      </c>
      <c r="D53" t="n">
        <v>8570</v>
      </c>
      <c r="E53" t="inlineStr">
        <is>
          <t>ATM</t>
        </is>
      </c>
      <c r="F53" t="inlineStr">
        <is>
          <t>BOG Y SABANA</t>
        </is>
      </c>
      <c r="G53" t="inlineStr">
        <is>
          <t>CUNDINAMARCA</t>
        </is>
      </c>
      <c r="H53" t="inlineStr">
        <is>
          <t>BOGOTÁ, D.C.</t>
        </is>
      </c>
      <c r="I53" t="n">
        <v>1</v>
      </c>
      <c r="J53" t="n">
        <v>1</v>
      </c>
      <c r="K53" t="inlineStr">
        <is>
          <t>Alta</t>
        </is>
      </c>
      <c r="L53" t="inlineStr">
        <is>
          <t>WF 1047 - ZO01-Zonas 24H-ATM-AP:Disarm</t>
        </is>
      </c>
      <c r="M53" t="inlineStr">
        <is>
          <t>activación perimetral</t>
        </is>
      </c>
      <c r="N53" t="inlineStr">
        <is>
          <t>activación perimetral atm</t>
        </is>
      </c>
      <c r="O53" t="inlineStr">
        <is>
          <t>8570 C MF WORLD TRADE CENTER - 7609 - ATL - DIEBOLD</t>
        </is>
      </c>
      <c r="P53" t="inlineStr">
        <is>
          <t>SGIII-7609-14-3</t>
        </is>
      </c>
      <c r="Q53" t="inlineStr">
        <is>
          <t xml:space="preserve">MAGNETICO MODULO TECNICO CAJERO </t>
        </is>
      </c>
      <c r="R53" t="inlineStr">
        <is>
          <t>SGIII</t>
        </is>
      </c>
      <c r="S53" t="n">
        <v>1</v>
      </c>
      <c r="T53" t="inlineStr">
        <is>
          <t>Adier Cuitiva Mayo</t>
        </is>
      </c>
      <c r="U53" t="inlineStr">
        <is>
          <t>Mal manejo</t>
        </is>
      </c>
      <c r="V53" t="inlineStr">
        <is>
          <t>NCR</t>
        </is>
      </c>
      <c r="W53" t="inlineStr">
        <is>
          <t>DIEBOLD</t>
        </is>
      </c>
      <c r="X53">
        <f>EXACT(TRIM(UPPER(V53)), TRIM(UPPER(W53)))</f>
        <v/>
      </c>
      <c r="Y53" t="inlineStr"/>
      <c r="Z53" t="n">
        <v>10</v>
      </c>
      <c r="AA53" t="inlineStr">
        <is>
          <t>Oportuno</t>
        </is>
      </c>
      <c r="AB53" s="1" t="n">
        <v>46212.43467592593</v>
      </c>
      <c r="AC53" s="1" t="n">
        <v>46212.43479166667</v>
      </c>
      <c r="AD53" s="1" t="n">
        <v>46212.5120949074</v>
      </c>
      <c r="AE53" t="n">
        <v>6689</v>
      </c>
      <c r="AF53" t="inlineStr">
        <is>
          <t>[2026-07-09 10:26:11] Adier Cuitiva Mayo: [SOP:1] Validando Video ✅ [SOP:2] Enviando Reacción ✅ [SOP:3] Documentando ✅ || [2026-07-09 10:26:49] Adier Cuitiva Mayo: Se verifica por video cámara relacionada en tiempo real, TECNICO NCR en aparente normalidad || [2026-07-09 10:26:58] Adier Cuitiva Mayo: Activación generada por desarme inoportuno</t>
        </is>
      </c>
    </row>
    <row r="54">
      <c r="A54" t="inlineStr">
        <is>
          <t>8D31DFD7-4693-4988-A2B8-A1522474C45A</t>
        </is>
      </c>
      <c r="B54" t="inlineStr">
        <is>
          <t>80619A15-45E5-481D-B941-BDD8D349F29A</t>
        </is>
      </c>
      <c r="C54" t="n">
        <v>7609</v>
      </c>
      <c r="D54" t="n">
        <v>8570</v>
      </c>
      <c r="E54" t="inlineStr">
        <is>
          <t>ATM</t>
        </is>
      </c>
      <c r="F54" t="inlineStr">
        <is>
          <t>BOG Y SABANA</t>
        </is>
      </c>
      <c r="G54" t="inlineStr">
        <is>
          <t>CUNDINAMARCA</t>
        </is>
      </c>
      <c r="H54" t="inlineStr">
        <is>
          <t>BOGOTÁ, D.C.</t>
        </is>
      </c>
      <c r="I54" t="n">
        <v>0</v>
      </c>
      <c r="J54" t="n">
        <v>1</v>
      </c>
      <c r="K54" t="inlineStr">
        <is>
          <t>Alta</t>
        </is>
      </c>
      <c r="L54" t="inlineStr">
        <is>
          <t>WF 1047 - ZO01-Zonas 24H-ATM-AP:Disarm</t>
        </is>
      </c>
      <c r="M54" t="inlineStr">
        <is>
          <t>activación perimetral</t>
        </is>
      </c>
      <c r="N54" t="inlineStr">
        <is>
          <t>activación perimetral atm</t>
        </is>
      </c>
      <c r="O54" t="inlineStr">
        <is>
          <t>8570 C MF WORLD TRADE CENTER - 7609 - ATL - DIEBOLD</t>
        </is>
      </c>
      <c r="P54" t="inlineStr">
        <is>
          <t>SGIII-7609-15-3</t>
        </is>
      </c>
      <c r="Q54" t="inlineStr">
        <is>
          <t>MAGNETICO CONTRATAPA INFERIOR CAJERO</t>
        </is>
      </c>
      <c r="R54" t="inlineStr">
        <is>
          <t>SGIII</t>
        </is>
      </c>
      <c r="S54" t="n">
        <v>1</v>
      </c>
      <c r="T54" t="inlineStr">
        <is>
          <t>Adier Cuitiva Mayo</t>
        </is>
      </c>
      <c r="U54" t="inlineStr">
        <is>
          <t>Mal manejo</t>
        </is>
      </c>
      <c r="V54" t="inlineStr">
        <is>
          <t>NCR</t>
        </is>
      </c>
      <c r="W54" t="inlineStr">
        <is>
          <t>DIEBOLD</t>
        </is>
      </c>
      <c r="X54">
        <f>EXACT(TRIM(UPPER(V54)), TRIM(UPPER(W54)))</f>
        <v/>
      </c>
      <c r="Y54" t="inlineStr"/>
      <c r="Z54" t="n">
        <v>5</v>
      </c>
      <c r="AA54" t="inlineStr">
        <is>
          <t>Oportuno</t>
        </is>
      </c>
      <c r="AB54" s="1" t="n">
        <v>46212.43519675926</v>
      </c>
      <c r="AC54" s="1" t="n">
        <v>46212.43525462963</v>
      </c>
      <c r="AD54" s="1" t="n">
        <v>46212.5120949074</v>
      </c>
      <c r="AE54" t="n">
        <v>6644</v>
      </c>
      <c r="AF54" t="inlineStr"/>
    </row>
    <row r="55">
      <c r="A55" t="inlineStr">
        <is>
          <t>A9EE8660-66AD-4D4C-99FF-E3E13EB7AFB3</t>
        </is>
      </c>
      <c r="B55" t="inlineStr">
        <is>
          <t>665CA389-C364-4B71-8B30-802C8FC38366</t>
        </is>
      </c>
      <c r="C55" t="n">
        <v>8148</v>
      </c>
      <c r="D55" t="n">
        <v>6787</v>
      </c>
      <c r="E55" t="inlineStr">
        <is>
          <t>ATM</t>
        </is>
      </c>
      <c r="F55" t="inlineStr">
        <is>
          <t>BOG Y SABANA</t>
        </is>
      </c>
      <c r="G55" t="inlineStr">
        <is>
          <t>CUNDINAMARCA</t>
        </is>
      </c>
      <c r="H55" t="inlineStr">
        <is>
          <t>BOGOTÁ, D.C.</t>
        </is>
      </c>
      <c r="I55" t="n">
        <v>1</v>
      </c>
      <c r="J55" t="n">
        <v>1</v>
      </c>
      <c r="K55" t="inlineStr">
        <is>
          <t>Alta</t>
        </is>
      </c>
      <c r="L55" t="inlineStr">
        <is>
          <t>WF 1047 - ZO01-Zonas 24H-ATM-AP:Disarm</t>
        </is>
      </c>
      <c r="M55" t="inlineStr">
        <is>
          <t>activación perimetral</t>
        </is>
      </c>
      <c r="N55" t="inlineStr">
        <is>
          <t>activación perimetral atm</t>
        </is>
      </c>
      <c r="O55" t="inlineStr">
        <is>
          <t>6787 C DISTRACOM AVENIDA TERCERA - 8148 - TBS - NCR</t>
        </is>
      </c>
      <c r="P55" t="inlineStr">
        <is>
          <t>SGIII-8148-15-3</t>
        </is>
      </c>
      <c r="Q55" t="inlineStr">
        <is>
          <t xml:space="preserve">MAGNETICO CONTRATAPA INFERIOR CAJERO - 6787 C DISTRACOM AVENIDA TERCERA </t>
        </is>
      </c>
      <c r="R55" t="inlineStr">
        <is>
          <t>SGIII</t>
        </is>
      </c>
      <c r="S55" t="n">
        <v>0</v>
      </c>
      <c r="T55" t="inlineStr">
        <is>
          <t>NATALIA ANDREA JARAMILLO SALINAS</t>
        </is>
      </c>
      <c r="U55" t="inlineStr">
        <is>
          <t>Mal manejo</t>
        </is>
      </c>
      <c r="V55" t="inlineStr">
        <is>
          <t>TRANSBANK</t>
        </is>
      </c>
      <c r="W55" t="inlineStr">
        <is>
          <t>VATCO</t>
        </is>
      </c>
      <c r="X55">
        <f>EXACT(TRIM(UPPER(V55)), TRIM(UPPER(W55)))</f>
        <v/>
      </c>
      <c r="Y55" t="inlineStr"/>
      <c r="Z55" t="n">
        <v>5</v>
      </c>
      <c r="AA55" t="inlineStr">
        <is>
          <t>Oportuno</t>
        </is>
      </c>
      <c r="AB55" s="1" t="n">
        <v>46212.43575231481</v>
      </c>
      <c r="AC55" s="1" t="n">
        <v>46212.43581018518</v>
      </c>
      <c r="AD55" s="1" t="n">
        <v>46212.44018518519</v>
      </c>
      <c r="AE55" t="n">
        <v>383</v>
      </c>
      <c r="AF55" t="inlineStr">
        <is>
          <t>[2026-07-09 10:28:58] NATALIA ANDREA JARAMILLO SALINAS: [SOP:1] Validando Video ✅ [SOP:2] Enviando Reacción ✅ [SOP:3] Documentando ✅ || [2026-07-09 10:30:05] NATALIA ANDREA JARAMILLO SALINAS: Se verifica por video COMMAND , Todas las cámaras en tiempo real, se observa el SITIO en aparente normalidad y siN  afectación alguna // Se personal de la TDV TRANSBANK en el sitio || [2026-07-09 10:30:06] NATALIA ANDREA JARAMILLO SALINAS: [SOP:1] Validando Video ✅ [SOP:2] Enviando Reacción ✅ [SOP:3] Documentando ✅ || [2026-07-09 10:30:11] NATALIA ANDREA JARAMILLO SALINAS: Se genera cobro de malos manejos por desarme no oportuno || [2026-07-09 10:30:12] NATALIA ANDREA JARAMILLO SALINAS: [SOP:1] Validando Video ✅ [SOP:2] Enviando Reacción ✅ [SOP:3] Documentando ✅</t>
        </is>
      </c>
    </row>
    <row r="56">
      <c r="A56" t="inlineStr">
        <is>
          <t>8F2376E1-9FC0-415E-804B-608AA91DA27A</t>
        </is>
      </c>
      <c r="B56" t="inlineStr">
        <is>
          <t>44E52657-3D64-4455-B147-65E264E06D27</t>
        </is>
      </c>
      <c r="C56" t="n">
        <v>1740</v>
      </c>
      <c r="D56" t="n">
        <v>740</v>
      </c>
      <c r="E56" t="inlineStr">
        <is>
          <t>Sucursal</t>
        </is>
      </c>
      <c r="F56" t="inlineStr">
        <is>
          <t>BOG Y SABANA</t>
        </is>
      </c>
      <c r="G56" t="inlineStr">
        <is>
          <t>CUNDINAMARCA</t>
        </is>
      </c>
      <c r="H56" t="inlineStr">
        <is>
          <t>BOGOTÁ, D.C.</t>
        </is>
      </c>
      <c r="I56" t="n">
        <v>1</v>
      </c>
      <c r="J56" t="n">
        <v>1</v>
      </c>
      <c r="K56" t="inlineStr">
        <is>
          <t>Alta</t>
        </is>
      </c>
      <c r="L56" t="inlineStr">
        <is>
          <t>WF 1048 - ZO01-Zonas 24H-SUC-AP:Disarm</t>
        </is>
      </c>
      <c r="M56" t="inlineStr">
        <is>
          <t>activación perimetral</t>
        </is>
      </c>
      <c r="N56" t="inlineStr">
        <is>
          <t>activación perimetral suc</t>
        </is>
      </c>
      <c r="O56" t="inlineStr">
        <is>
          <t>0740 S AUTONAL DE AGADA - 1740</t>
        </is>
      </c>
      <c r="P56" t="inlineStr">
        <is>
          <t>Honeywell7810PC-1740-24-2</t>
        </is>
      </c>
      <c r="Q56" t="inlineStr">
        <is>
          <t>MAGNETICO BOVEDA</t>
        </is>
      </c>
      <c r="R56" t="inlineStr">
        <is>
          <t>Honeywell</t>
        </is>
      </c>
      <c r="S56" t="n">
        <v>0</v>
      </c>
      <c r="T56" t="inlineStr">
        <is>
          <t>JHON DAIRO ESCOBAR GARCIA</t>
        </is>
      </c>
      <c r="U56" t="inlineStr">
        <is>
          <t>Mal manejo</t>
        </is>
      </c>
      <c r="V56" t="inlineStr">
        <is>
          <t>TRANSBANK</t>
        </is>
      </c>
      <c r="W56" t="inlineStr">
        <is>
          <t>FUNCIONARIOS</t>
        </is>
      </c>
      <c r="X56">
        <f>EXACT(TRIM(UPPER(V56)), TRIM(UPPER(W56)))</f>
        <v/>
      </c>
      <c r="Y56" t="inlineStr"/>
      <c r="Z56" t="n">
        <v>11</v>
      </c>
      <c r="AA56" t="inlineStr">
        <is>
          <t>Oportuno</t>
        </is>
      </c>
      <c r="AB56" s="1" t="n">
        <v>46212.71206018519</v>
      </c>
      <c r="AC56" s="1" t="n">
        <v>46212.7121875</v>
      </c>
      <c r="AD56" s="1" t="n">
        <v>46212.72068287037</v>
      </c>
      <c r="AE56" t="n">
        <v>745</v>
      </c>
      <c r="AF56" t="inlineStr">
        <is>
          <t>[2026-07-09 17:09:48] JHON DAIRO ESCOBAR GARCIA: [SOP:1] Validando Video ✅ [SOP:2] Enviando Reacción ✅ [SOP:3] Documentando ✅ || [2026-07-09 17:11:12] JHON DAIRO ESCOBAR GARCIA: Se realiza la respectiva validación por video todo esta aparentemente sin novedad --- a la hora se observa FUNCIONARIOS en el punto  al momento de la activación || [2026-07-09 17:17:38] JHON DAIRO ESCOBAR GARCIA: Se genera cobro de malos manejo porque no REALIZAN EL BYPASS DE LA ZONA</t>
        </is>
      </c>
    </row>
    <row r="57">
      <c r="A57" t="inlineStr">
        <is>
          <t>D44BDE4D-3C6E-462C-A838-D9BDF2DB8EF1</t>
        </is>
      </c>
      <c r="B57" t="inlineStr">
        <is>
          <t>4287379F-8B0B-47AF-9246-9F878359E816</t>
        </is>
      </c>
      <c r="C57" t="n">
        <v>7653</v>
      </c>
      <c r="D57" t="n">
        <v>6628</v>
      </c>
      <c r="E57" t="inlineStr">
        <is>
          <t>ATM</t>
        </is>
      </c>
      <c r="F57" t="inlineStr">
        <is>
          <t>BOG Y SABANA</t>
        </is>
      </c>
      <c r="G57" t="inlineStr">
        <is>
          <t>CUNDINAMARCA</t>
        </is>
      </c>
      <c r="H57" t="inlineStr">
        <is>
          <t>MOSQUERA</t>
        </is>
      </c>
      <c r="I57" t="n">
        <v>1</v>
      </c>
      <c r="J57" t="n">
        <v>1</v>
      </c>
      <c r="K57" t="inlineStr">
        <is>
          <t>Alta</t>
        </is>
      </c>
      <c r="L57" t="inlineStr">
        <is>
          <t>WF 1047 - ZO01-Zonas 24H-ATM-AP:Disarm</t>
        </is>
      </c>
      <c r="M57" t="inlineStr">
        <is>
          <t>activación perimetral</t>
        </is>
      </c>
      <c r="N57" t="inlineStr">
        <is>
          <t>activación perimetral atm</t>
        </is>
      </c>
      <c r="O57" t="inlineStr">
        <is>
          <t>6628 C MULTIFUNCIONAL MOSQUERA - 7653 - AdminSUC</t>
        </is>
      </c>
      <c r="P57" t="inlineStr">
        <is>
          <t>SGIII-7653-11-2</t>
        </is>
      </c>
      <c r="Q57" t="inlineStr">
        <is>
          <t xml:space="preserve">MAGNETICO COFRE CJAERO </t>
        </is>
      </c>
      <c r="R57" t="inlineStr">
        <is>
          <t>SGIII</t>
        </is>
      </c>
      <c r="S57" t="n">
        <v>0</v>
      </c>
      <c r="T57" t="inlineStr">
        <is>
          <t>Neidy Martínez</t>
        </is>
      </c>
      <c r="U57" t="inlineStr">
        <is>
          <t>Mal manejo</t>
        </is>
      </c>
      <c r="V57" t="inlineStr">
        <is>
          <t>VATCO</t>
        </is>
      </c>
      <c r="W57" t="inlineStr">
        <is>
          <t>FUNCIONARIOS</t>
        </is>
      </c>
      <c r="X57">
        <f>EXACT(TRIM(UPPER(V57)), TRIM(UPPER(W57)))</f>
        <v/>
      </c>
      <c r="Y57" t="inlineStr"/>
      <c r="Z57" t="n">
        <v>12</v>
      </c>
      <c r="AA57" t="inlineStr">
        <is>
          <t>Oportuno</t>
        </is>
      </c>
      <c r="AB57" s="1" t="n">
        <v>46213.26283564815</v>
      </c>
      <c r="AC57" s="1" t="n">
        <v>46213.26297453704</v>
      </c>
      <c r="AD57" s="1" t="n">
        <v>46213.44462962963</v>
      </c>
      <c r="AE57" t="n">
        <v>15707</v>
      </c>
      <c r="AF57" t="inlineStr">
        <is>
          <t>[2026-07-10 06:19:27] Neidy Martínez: [SOP:1] Validando Video ✅ [SOP:2] Enviando Reacción ✅ [SOP:3] Documentando ✅ || [2026-07-10 06:20:09] Neidy Martínez: sin video || [2026-07-10 06:20:54] Neidy Martínez: 10/07/2026 06:20:00 S01011[#7653|Nri2/OP0022/OR0022]_x0014_ Partición Desarmada USUARIO  22 VATCO || [2026-07-10 06:21:07] Neidy Martínez: Mal manejo, personal en sitio no realiza desarme de la partición de forma oportuna</t>
        </is>
      </c>
    </row>
    <row r="58">
      <c r="A58" t="inlineStr">
        <is>
          <t>2C0EEBD4-6820-41B4-85BE-9AC2399B9127</t>
        </is>
      </c>
      <c r="B58" t="inlineStr">
        <is>
          <t>71E4FC4F-EDDC-49E4-9D2C-0A2AE47C7903</t>
        </is>
      </c>
      <c r="C58" t="n">
        <v>7866</v>
      </c>
      <c r="D58" t="n">
        <v>2054</v>
      </c>
      <c r="E58" t="inlineStr">
        <is>
          <t>ATM</t>
        </is>
      </c>
      <c r="F58" t="inlineStr">
        <is>
          <t>SUR</t>
        </is>
      </c>
      <c r="G58" t="inlineStr">
        <is>
          <t>RISARALDA</t>
        </is>
      </c>
      <c r="H58" t="inlineStr">
        <is>
          <t>PEREIRA</t>
        </is>
      </c>
      <c r="I58" t="n">
        <v>1</v>
      </c>
      <c r="J58" t="n">
        <v>1</v>
      </c>
      <c r="K58" t="inlineStr">
        <is>
          <t>Alta</t>
        </is>
      </c>
      <c r="L58" t="inlineStr">
        <is>
          <t>WF 1047 - ZO01-Zonas 24H-ATM-AP:Disarm</t>
        </is>
      </c>
      <c r="M58" t="inlineStr">
        <is>
          <t>activación perimetral</t>
        </is>
      </c>
      <c r="N58" t="inlineStr">
        <is>
          <t>activación perimetral atm</t>
        </is>
      </c>
      <c r="O58" t="inlineStr">
        <is>
          <t>2054 8060 C EXITO PEREIRA CUARTO S - 7866 - TBS - DIEBOLD</t>
        </is>
      </c>
      <c r="P58" t="inlineStr">
        <is>
          <t>SGIII-7866-2-1</t>
        </is>
      </c>
      <c r="Q58" t="inlineStr">
        <is>
          <t>MICROSUICHE TAPA TECLADO CUARTO TECNICO</t>
        </is>
      </c>
      <c r="R58" t="inlineStr">
        <is>
          <t>SGIII</t>
        </is>
      </c>
      <c r="S58" t="n">
        <v>0</v>
      </c>
      <c r="T58" t="inlineStr">
        <is>
          <t>Neidy Martínez</t>
        </is>
      </c>
      <c r="U58" t="inlineStr">
        <is>
          <t>Mal manejo</t>
        </is>
      </c>
      <c r="V58" t="inlineStr">
        <is>
          <t>NCR</t>
        </is>
      </c>
      <c r="W58" t="inlineStr">
        <is>
          <t>DIEBOLD</t>
        </is>
      </c>
      <c r="X58">
        <f>EXACT(TRIM(UPPER(V58)), TRIM(UPPER(W58)))</f>
        <v/>
      </c>
      <c r="Y58" t="inlineStr"/>
      <c r="Z58" t="n">
        <v>7</v>
      </c>
      <c r="AA58" t="inlineStr">
        <is>
          <t>Oportuno</t>
        </is>
      </c>
      <c r="AB58" s="1" t="n">
        <v>46213.33342592593</v>
      </c>
      <c r="AC58" s="1" t="n">
        <v>46213.33350694444</v>
      </c>
      <c r="AD58" s="1" t="n">
        <v>46213.4652662037</v>
      </c>
      <c r="AE58" t="n">
        <v>11391</v>
      </c>
      <c r="AF58" t="inlineStr">
        <is>
          <t>[2026-07-10 08:06:12] Neidy Martínez: [SOP:1] Validando Video ✅ [SOP:2] Enviando Reacción ✅ [SOP:3] Documentando ✅ || [2026-07-10 08:06:49] Neidy Martínez: Se valida por video command se observan TÉCNICOS NCR en el sitio   Mal manejo, personal no realizan bypass de la zona de forma oportuna</t>
        </is>
      </c>
    </row>
    <row r="59">
      <c r="A59" t="inlineStr">
        <is>
          <t>95E5AD83-983F-4872-BC44-8A2E3429E926</t>
        </is>
      </c>
      <c r="B59" t="inlineStr">
        <is>
          <t>61F4ACA3-B50F-4C54-89A0-9A436CEF04E8</t>
        </is>
      </c>
      <c r="C59" t="n">
        <v>6904</v>
      </c>
      <c r="D59" t="n">
        <v>4697</v>
      </c>
      <c r="E59" t="inlineStr">
        <is>
          <t>ATM</t>
        </is>
      </c>
      <c r="F59" t="inlineStr">
        <is>
          <t>ANTIOQUIA</t>
        </is>
      </c>
      <c r="G59" t="inlineStr">
        <is>
          <t>ANTIOQUIA</t>
        </is>
      </c>
      <c r="H59" t="inlineStr">
        <is>
          <t>BELLO</t>
        </is>
      </c>
      <c r="I59" t="n">
        <v>1</v>
      </c>
      <c r="J59" t="n">
        <v>1</v>
      </c>
      <c r="K59" t="inlineStr">
        <is>
          <t>Alta</t>
        </is>
      </c>
      <c r="L59" t="inlineStr">
        <is>
          <t>WF 1055 - ZO09-Zonas 24H-Tamper y Antimascara AP:A</t>
        </is>
      </c>
      <c r="M59" t="inlineStr">
        <is>
          <t>activación tamper y antimascara</t>
        </is>
      </c>
      <c r="N59" t="inlineStr">
        <is>
          <t>activación tamper y antimascara</t>
        </is>
      </c>
      <c r="O59" t="inlineStr">
        <is>
          <t>4697 8507 8508 5022 6766 C CENTRO PAGOS BELLO - 6904 - TBS - DIEBOLD</t>
        </is>
      </c>
      <c r="P59" t="inlineStr">
        <is>
          <t>Honeywell7810PC-6904-8-2</t>
        </is>
      </c>
      <c r="Q59" t="inlineStr">
        <is>
          <t xml:space="preserve">TAMPER CENTRAL ALARMA CAJERO </t>
        </is>
      </c>
      <c r="R59" t="inlineStr">
        <is>
          <t>Honeywell</t>
        </is>
      </c>
      <c r="S59" t="n">
        <v>1</v>
      </c>
      <c r="T59" t="inlineStr">
        <is>
          <t>Neidy Martínez</t>
        </is>
      </c>
      <c r="U59" t="inlineStr">
        <is>
          <t>Mal manejo</t>
        </is>
      </c>
      <c r="V59" t="inlineStr">
        <is>
          <t>NCR</t>
        </is>
      </c>
      <c r="W59" t="inlineStr">
        <is>
          <t>DIEBOLD</t>
        </is>
      </c>
      <c r="X59">
        <f>EXACT(TRIM(UPPER(V59)), TRIM(UPPER(W59)))</f>
        <v/>
      </c>
      <c r="Y59" t="inlineStr"/>
      <c r="Z59" t="n">
        <v>3</v>
      </c>
      <c r="AA59" t="inlineStr">
        <is>
          <t>Oportuno</t>
        </is>
      </c>
      <c r="AB59" s="1" t="n">
        <v>46213.34752314815</v>
      </c>
      <c r="AC59" s="1" t="n">
        <v>46213.34755787037</v>
      </c>
      <c r="AD59" s="1" t="n">
        <v>46213.50226851852</v>
      </c>
      <c r="AE59" t="n">
        <v>13370</v>
      </c>
      <c r="AF59" t="inlineStr">
        <is>
          <t>[2026-07-10 08:43:10] Neidy Martínez: [SOP:1] Validando Video ✅ [SOP:2] Enviando Reacción ✅ [SOP:3] Documentando ✅ || [2026-07-10 08:46:50] Neidy Martínez: Se valida por video command se observan TÉCNICOS NCR en el sitio   Mal manejo, personal no realizan bypass de la zona de forma oportuna</t>
        </is>
      </c>
    </row>
    <row r="60">
      <c r="A60" t="inlineStr">
        <is>
          <t>21F9F0C8-763B-4953-9EBA-37F8BA32B742</t>
        </is>
      </c>
      <c r="B60" t="inlineStr">
        <is>
          <t>8CE79C43-B2D4-4FAD-98B7-45947122F8E8</t>
        </is>
      </c>
      <c r="C60" t="n">
        <v>9981</v>
      </c>
      <c r="D60" t="n">
        <v>16</v>
      </c>
      <c r="E60" t="inlineStr">
        <is>
          <t>ATM</t>
        </is>
      </c>
      <c r="F60" t="inlineStr">
        <is>
          <t>ANTIOQUIA</t>
        </is>
      </c>
      <c r="G60" t="inlineStr">
        <is>
          <t>ANTIOQUIA</t>
        </is>
      </c>
      <c r="H60" t="inlineStr">
        <is>
          <t>RIONEGRO</t>
        </is>
      </c>
      <c r="I60" t="n">
        <v>1</v>
      </c>
      <c r="J60" t="n">
        <v>1</v>
      </c>
      <c r="K60" t="inlineStr">
        <is>
          <t>Alta</t>
        </is>
      </c>
      <c r="L60" t="inlineStr">
        <is>
          <t>WF 1047 - ZO01-Zonas 24H-ATM-AP:Disarm</t>
        </is>
      </c>
      <c r="M60" t="inlineStr">
        <is>
          <t>activación perimetral</t>
        </is>
      </c>
      <c r="N60" t="inlineStr">
        <is>
          <t>activación perimetral atm</t>
        </is>
      </c>
      <c r="O60" t="inlineStr">
        <is>
          <t>0016 5498 C LLANOGRANDE RIONEGRO BK - 9981 - BK - NCR</t>
        </is>
      </c>
      <c r="P60" t="inlineStr">
        <is>
          <t>SGIII-9981-1-1</t>
        </is>
      </c>
      <c r="Q60" t="inlineStr">
        <is>
          <t>MAGNETICO ENTRADA CUARTO CARGUE CAJEROS</t>
        </is>
      </c>
      <c r="R60" t="inlineStr">
        <is>
          <t>SGIII</t>
        </is>
      </c>
      <c r="S60" t="n">
        <v>0</v>
      </c>
      <c r="T60" t="inlineStr">
        <is>
          <t>Neidy Martínez</t>
        </is>
      </c>
      <c r="U60" t="inlineStr">
        <is>
          <t>Mal manejo</t>
        </is>
      </c>
      <c r="V60" t="inlineStr">
        <is>
          <t>DIEBOLD</t>
        </is>
      </c>
      <c r="W60" t="inlineStr">
        <is>
          <t>NCR</t>
        </is>
      </c>
      <c r="X60">
        <f>EXACT(TRIM(UPPER(V60)), TRIM(UPPER(W60)))</f>
        <v/>
      </c>
      <c r="Y60" t="inlineStr"/>
      <c r="Z60" t="n">
        <v>8</v>
      </c>
      <c r="AA60" t="inlineStr">
        <is>
          <t>Oportuno</t>
        </is>
      </c>
      <c r="AB60" s="1" t="n">
        <v>46213.51826388889</v>
      </c>
      <c r="AC60" s="1" t="n">
        <v>46213.51835648148</v>
      </c>
      <c r="AD60" s="1" t="n">
        <v>46213.53212962963</v>
      </c>
      <c r="AE60" t="n">
        <v>1198</v>
      </c>
      <c r="AF60" t="inlineStr">
        <is>
          <t>[2026-07-10 12:38:34] Neidy Martínez: [SOP:1] Validando Video ✅ [SOP:2] Enviando Reacción ✅ [SOP:3] Documentando ✅ || [2026-07-10 12:39:02] Neidy Martínez: Se valida por video command se observan técnicos DIEBOLD en el sitio   Mal manejo, personal no realizan bypass de la zona de forma oportuna</t>
        </is>
      </c>
    </row>
    <row r="61">
      <c r="A61" t="inlineStr">
        <is>
          <t>21F9F0C8-763B-4953-9EBA-37F8BA32B742</t>
        </is>
      </c>
      <c r="B61" t="inlineStr">
        <is>
          <t>F773F903-A010-4447-B8A9-65DD3C175EF3</t>
        </is>
      </c>
      <c r="C61" t="n">
        <v>9981</v>
      </c>
      <c r="D61" t="n">
        <v>16</v>
      </c>
      <c r="E61" t="inlineStr">
        <is>
          <t>ATM</t>
        </is>
      </c>
      <c r="F61" t="inlineStr">
        <is>
          <t>ANTIOQUIA</t>
        </is>
      </c>
      <c r="G61" t="inlineStr">
        <is>
          <t>ANTIOQUIA</t>
        </is>
      </c>
      <c r="H61" t="inlineStr">
        <is>
          <t>RIONEGRO</t>
        </is>
      </c>
      <c r="I61" t="n">
        <v>0</v>
      </c>
      <c r="J61" t="n">
        <v>1</v>
      </c>
      <c r="K61" t="inlineStr">
        <is>
          <t>Alta</t>
        </is>
      </c>
      <c r="L61" t="inlineStr">
        <is>
          <t>WF 1047 - ZO01-Zonas 24H-ATM-AP:Disarm</t>
        </is>
      </c>
      <c r="M61" t="inlineStr">
        <is>
          <t>activación perimetral</t>
        </is>
      </c>
      <c r="N61" t="inlineStr">
        <is>
          <t>activación perimetral atm</t>
        </is>
      </c>
      <c r="O61" t="inlineStr">
        <is>
          <t>0016 5498 C LLANOGRANDE RIONEGRO BK - 9981 - BK - NCR</t>
        </is>
      </c>
      <c r="P61" t="inlineStr">
        <is>
          <t>SGIII-9981-2-1</t>
        </is>
      </c>
      <c r="Q61" t="inlineStr">
        <is>
          <t>MICROSUICHE ENTRADA PRINCIPAL CUARTO CARGUE CAJEROS</t>
        </is>
      </c>
      <c r="R61" t="inlineStr">
        <is>
          <t>SGIII</t>
        </is>
      </c>
      <c r="S61" t="n">
        <v>1</v>
      </c>
      <c r="T61" t="inlineStr">
        <is>
          <t>Neidy Martínez</t>
        </is>
      </c>
      <c r="U61" t="inlineStr">
        <is>
          <t>Mal manejo</t>
        </is>
      </c>
      <c r="V61" t="inlineStr">
        <is>
          <t>DIEBOLD</t>
        </is>
      </c>
      <c r="W61" t="inlineStr">
        <is>
          <t>NCR</t>
        </is>
      </c>
      <c r="X61">
        <f>EXACT(TRIM(UPPER(V61)), TRIM(UPPER(W61)))</f>
        <v/>
      </c>
      <c r="Y61" t="inlineStr"/>
      <c r="Z61" t="n">
        <v>9</v>
      </c>
      <c r="AA61" t="inlineStr">
        <is>
          <t>Oportuno</t>
        </is>
      </c>
      <c r="AB61" s="1" t="n">
        <v>46213.51828703703</v>
      </c>
      <c r="AC61" s="1" t="n">
        <v>46213.5183912037</v>
      </c>
      <c r="AD61" s="1" t="n">
        <v>46213.53212962963</v>
      </c>
      <c r="AE61" t="n">
        <v>1196</v>
      </c>
      <c r="AF61" t="inlineStr"/>
    </row>
    <row r="62">
      <c r="A62" t="inlineStr">
        <is>
          <t>21F9F0C8-763B-4953-9EBA-37F8BA32B742</t>
        </is>
      </c>
      <c r="B62" t="inlineStr">
        <is>
          <t>BA4A02E8-BABD-4C33-B559-13F2B66246FF</t>
        </is>
      </c>
      <c r="C62" t="n">
        <v>9981</v>
      </c>
      <c r="D62" t="n">
        <v>16</v>
      </c>
      <c r="E62" t="inlineStr">
        <is>
          <t>ATM</t>
        </is>
      </c>
      <c r="F62" t="inlineStr">
        <is>
          <t>ANTIOQUIA</t>
        </is>
      </c>
      <c r="G62" t="inlineStr">
        <is>
          <t>ANTIOQUIA</t>
        </is>
      </c>
      <c r="H62" t="inlineStr">
        <is>
          <t>RIONEGRO</t>
        </is>
      </c>
      <c r="I62" t="n">
        <v>0</v>
      </c>
      <c r="J62" t="n">
        <v>1</v>
      </c>
      <c r="K62" t="inlineStr">
        <is>
          <t>Alta</t>
        </is>
      </c>
      <c r="L62" t="inlineStr">
        <is>
          <t>WF 1047 - ZO01-Zonas 24H-ATM-AP:Disarm</t>
        </is>
      </c>
      <c r="M62" t="inlineStr">
        <is>
          <t>activación perimetral</t>
        </is>
      </c>
      <c r="N62" t="inlineStr">
        <is>
          <t>activación perimetral atm</t>
        </is>
      </c>
      <c r="O62" t="inlineStr">
        <is>
          <t>0016 5498 C LLANOGRANDE RIONEGRO BK - 9981 - BK - NCR</t>
        </is>
      </c>
      <c r="P62" t="inlineStr">
        <is>
          <t>SGIII-9981-4-1</t>
        </is>
      </c>
      <c r="Q62" t="inlineStr">
        <is>
          <t>INFRARROJO ENTRADA CARGUE CAJEROS</t>
        </is>
      </c>
      <c r="R62" t="inlineStr">
        <is>
          <t>SGIII</t>
        </is>
      </c>
      <c r="S62" t="n">
        <v>1</v>
      </c>
      <c r="T62" t="inlineStr">
        <is>
          <t>Neidy Martínez</t>
        </is>
      </c>
      <c r="U62" t="inlineStr">
        <is>
          <t>Mal manejo</t>
        </is>
      </c>
      <c r="V62" t="inlineStr">
        <is>
          <t>DIEBOLD</t>
        </is>
      </c>
      <c r="W62" t="inlineStr">
        <is>
          <t>NCR</t>
        </is>
      </c>
      <c r="X62">
        <f>EXACT(TRIM(UPPER(V62)), TRIM(UPPER(W62)))</f>
        <v/>
      </c>
      <c r="Y62" t="inlineStr"/>
      <c r="Z62" t="n">
        <v>8</v>
      </c>
      <c r="AA62" t="inlineStr">
        <is>
          <t>Oportuno</t>
        </is>
      </c>
      <c r="AB62" s="1" t="n">
        <v>46213.51829861111</v>
      </c>
      <c r="AC62" s="1" t="n">
        <v>46213.5183912037</v>
      </c>
      <c r="AD62" s="1" t="n">
        <v>46213.53212962963</v>
      </c>
      <c r="AE62" t="n">
        <v>1195</v>
      </c>
      <c r="AF62" t="inlineStr"/>
    </row>
    <row r="63">
      <c r="A63" t="inlineStr">
        <is>
          <t>F52805E4-F45F-4D77-8EFE-7957327E7CEB</t>
        </is>
      </c>
      <c r="B63" t="inlineStr">
        <is>
          <t>461A433F-2400-49BB-AA90-3F64CA9A4225</t>
        </is>
      </c>
      <c r="C63" t="n">
        <v>7946</v>
      </c>
      <c r="D63" t="n">
        <v>5077</v>
      </c>
      <c r="E63" t="inlineStr">
        <is>
          <t>ATM</t>
        </is>
      </c>
      <c r="F63" t="inlineStr">
        <is>
          <t>BOG Y SABANA</t>
        </is>
      </c>
      <c r="G63" t="inlineStr">
        <is>
          <t>CUNDINAMARCA</t>
        </is>
      </c>
      <c r="H63" t="inlineStr">
        <is>
          <t>BOGOTÁ, D.C.</t>
        </is>
      </c>
      <c r="I63" t="n">
        <v>0</v>
      </c>
      <c r="J63" t="n">
        <v>3</v>
      </c>
      <c r="K63" t="inlineStr">
        <is>
          <t>Baja</t>
        </is>
      </c>
      <c r="L63" t="inlineStr">
        <is>
          <t>WF 1002 - AP03-Dia-No User In Data Base -  - UsuarioDesconocido</t>
        </is>
      </c>
      <c r="M63" t="inlineStr">
        <is>
          <t>apertura por usuario desconocido</t>
        </is>
      </c>
      <c r="N63" t="inlineStr">
        <is>
          <t>apertura por usuario desconocido (d)</t>
        </is>
      </c>
      <c r="O63" t="inlineStr">
        <is>
          <t>5077 C CP UNICENTRO BOGOTA - 7946 - AdminSUC - BELLTECH -Mtto</t>
        </is>
      </c>
      <c r="P63" t="inlineStr">
        <is>
          <t>SGIII-7946-2</t>
        </is>
      </c>
      <c r="Q63" t="inlineStr">
        <is>
          <t xml:space="preserve">PARTICION 2 </t>
        </is>
      </c>
      <c r="R63" t="inlineStr">
        <is>
          <t>SGIII</t>
        </is>
      </c>
      <c r="S63" t="n">
        <v>0</v>
      </c>
      <c r="T63" t="inlineStr">
        <is>
          <t>Jhon Fredy Ocampo Yepez</t>
        </is>
      </c>
      <c r="U63" t="inlineStr">
        <is>
          <t>Mal manejo</t>
        </is>
      </c>
      <c r="V63" t="inlineStr">
        <is>
          <t>BRINKS</t>
        </is>
      </c>
      <c r="W63" t="inlineStr">
        <is>
          <t>FUNCIONARIOS</t>
        </is>
      </c>
      <c r="X63">
        <f>EXACT(TRIM(UPPER(V63)), TRIM(UPPER(W63)))</f>
        <v/>
      </c>
      <c r="Y63" t="inlineStr"/>
      <c r="Z63" t="n">
        <v>1</v>
      </c>
      <c r="AA63" t="inlineStr">
        <is>
          <t>Oportuno</t>
        </is>
      </c>
      <c r="AB63" s="1" t="n">
        <v>46214.46444444444</v>
      </c>
      <c r="AC63" s="1" t="n">
        <v>46214.46445601852</v>
      </c>
      <c r="AD63" s="1" t="n">
        <v>46214.47326388889</v>
      </c>
      <c r="AE63" t="n">
        <v>762</v>
      </c>
      <c r="AF63" t="inlineStr">
        <is>
          <t>[2026-07-11 11:13:19] Jhon Fredy Ocampo Yepez: Mal manejo por no desarme de particion</t>
        </is>
      </c>
    </row>
    <row r="64">
      <c r="A64" t="inlineStr">
        <is>
          <t>F52805E4-F45F-4D77-8EFE-7957327E7CEB</t>
        </is>
      </c>
      <c r="B64" t="inlineStr">
        <is>
          <t>37CEACE6-DCD5-49F8-B2AE-1169770F4179</t>
        </is>
      </c>
      <c r="C64" t="n">
        <v>7946</v>
      </c>
      <c r="D64" t="n">
        <v>7980</v>
      </c>
      <c r="E64" t="inlineStr">
        <is>
          <t>ATM</t>
        </is>
      </c>
      <c r="F64" t="inlineStr">
        <is>
          <t>BOG Y SABANA</t>
        </is>
      </c>
      <c r="G64" t="inlineStr">
        <is>
          <t>CUNDINAMARCA</t>
        </is>
      </c>
      <c r="H64" t="inlineStr">
        <is>
          <t>BOGOTÁ, D.C.</t>
        </is>
      </c>
      <c r="I64" t="n">
        <v>0</v>
      </c>
      <c r="J64" t="n">
        <v>3</v>
      </c>
      <c r="K64" t="inlineStr">
        <is>
          <t>Baja</t>
        </is>
      </c>
      <c r="L64" t="inlineStr">
        <is>
          <t>WF 1002 - AP03-Dia-No User In Data Base -  - UsuarioDesconocido</t>
        </is>
      </c>
      <c r="M64" t="inlineStr">
        <is>
          <t>apertura por usuario desconocido</t>
        </is>
      </c>
      <c r="N64" t="inlineStr">
        <is>
          <t>apertura por usuario desconocido (d)</t>
        </is>
      </c>
      <c r="O64" t="inlineStr">
        <is>
          <t>7980 C CP UNICENTRO BOGOTA - 7946 - AdminSUC - BELLTECH -Mtto</t>
        </is>
      </c>
      <c r="P64" t="inlineStr">
        <is>
          <t>SGIII-7946-4</t>
        </is>
      </c>
      <c r="Q64" t="inlineStr">
        <is>
          <t xml:space="preserve">PARTICION 4 </t>
        </is>
      </c>
      <c r="R64" t="inlineStr">
        <is>
          <t>SGIII</t>
        </is>
      </c>
      <c r="S64" t="n">
        <v>1</v>
      </c>
      <c r="T64" t="inlineStr">
        <is>
          <t>Jhon Fredy Ocampo Yepez</t>
        </is>
      </c>
      <c r="U64" t="inlineStr">
        <is>
          <t>Mal manejo</t>
        </is>
      </c>
      <c r="V64" t="inlineStr">
        <is>
          <t>BRINKS</t>
        </is>
      </c>
      <c r="W64" t="inlineStr">
        <is>
          <t>FUNCIONARIOS</t>
        </is>
      </c>
      <c r="X64">
        <f>EXACT(TRIM(UPPER(V64)), TRIM(UPPER(W64)))</f>
        <v/>
      </c>
      <c r="Y64" t="inlineStr"/>
      <c r="Z64" t="n">
        <v>1</v>
      </c>
      <c r="AA64" t="inlineStr">
        <is>
          <t>Oportuno</t>
        </is>
      </c>
      <c r="AB64" s="1" t="n">
        <v>46214.46508101852</v>
      </c>
      <c r="AC64" s="1" t="n">
        <v>46214.4650925926</v>
      </c>
      <c r="AD64" s="1" t="n">
        <v>46214.47326388889</v>
      </c>
      <c r="AE64" t="n">
        <v>707</v>
      </c>
      <c r="AF64" t="inlineStr">
        <is>
          <t>[2026-07-11 11:13:19] Jhon Fredy Ocampo Yepez: Mal manejo por no desarme de particion</t>
        </is>
      </c>
    </row>
    <row r="65">
      <c r="A65" t="inlineStr">
        <is>
          <t>F52805E4-F45F-4D77-8EFE-7957327E7CEB</t>
        </is>
      </c>
      <c r="B65" t="inlineStr">
        <is>
          <t>405E8895-3EC9-4A4E-AFB5-A0332577A1D5</t>
        </is>
      </c>
      <c r="C65" t="n">
        <v>7946</v>
      </c>
      <c r="D65" t="n">
        <v>5077</v>
      </c>
      <c r="E65" t="inlineStr">
        <is>
          <t>ATM</t>
        </is>
      </c>
      <c r="F65" t="inlineStr">
        <is>
          <t>BOG Y SABANA</t>
        </is>
      </c>
      <c r="G65" t="inlineStr">
        <is>
          <t>CUNDINAMARCA</t>
        </is>
      </c>
      <c r="H65" t="inlineStr">
        <is>
          <t>BOGOTÁ, D.C.</t>
        </is>
      </c>
      <c r="I65" t="n">
        <v>0</v>
      </c>
      <c r="J65" t="n">
        <v>3</v>
      </c>
      <c r="K65" t="inlineStr">
        <is>
          <t>Baja</t>
        </is>
      </c>
      <c r="L65" t="inlineStr">
        <is>
          <t>WF 1002 - AP03-Dia-No User In Data Base -  - UsuarioDesconocido</t>
        </is>
      </c>
      <c r="M65" t="inlineStr">
        <is>
          <t>apertura por usuario desconocido</t>
        </is>
      </c>
      <c r="N65" t="inlineStr">
        <is>
          <t>apertura por usuario desconocido (d)</t>
        </is>
      </c>
      <c r="O65" t="inlineStr">
        <is>
          <t>5077 7980 C MULTIFUNCIONAL CP UNICENTRO BOGOTA SUC - 7946 - AdminSUC - BELLTECH -Mtto</t>
        </is>
      </c>
      <c r="P65" t="inlineStr">
        <is>
          <t>SGIII-7946-1</t>
        </is>
      </c>
      <c r="Q65" t="inlineStr">
        <is>
          <t xml:space="preserve">PARTICION 1 </t>
        </is>
      </c>
      <c r="R65" t="inlineStr">
        <is>
          <t>SGIII</t>
        </is>
      </c>
      <c r="S65" t="n">
        <v>0</v>
      </c>
      <c r="T65" t="inlineStr">
        <is>
          <t>Jhon Fredy Ocampo Yepez</t>
        </is>
      </c>
      <c r="U65" t="inlineStr">
        <is>
          <t>Mal manejo</t>
        </is>
      </c>
      <c r="V65" t="inlineStr">
        <is>
          <t>BRINKS</t>
        </is>
      </c>
      <c r="W65" t="inlineStr">
        <is>
          <t>FUNCIONARIOS</t>
        </is>
      </c>
      <c r="X65">
        <f>EXACT(TRIM(UPPER(V65)), TRIM(UPPER(W65)))</f>
        <v/>
      </c>
      <c r="Y65" t="inlineStr"/>
      <c r="Z65" t="n">
        <v>1</v>
      </c>
      <c r="AA65" t="inlineStr">
        <is>
          <t>Oportuno</t>
        </is>
      </c>
      <c r="AB65" s="1" t="n">
        <v>46214.46508101852</v>
      </c>
      <c r="AC65" s="1" t="n">
        <v>46214.4650925926</v>
      </c>
      <c r="AD65" s="1" t="n">
        <v>46214.47326388889</v>
      </c>
      <c r="AE65" t="n">
        <v>707</v>
      </c>
      <c r="AF65" t="inlineStr">
        <is>
          <t>[2026-07-11 11:13:19] Jhon Fredy Ocampo Yepez: Mal manejo por no desarme de particion</t>
        </is>
      </c>
    </row>
    <row r="66">
      <c r="A66" t="inlineStr">
        <is>
          <t>8F13AD31-331D-4C3A-8972-B9F910E096B1</t>
        </is>
      </c>
      <c r="B66" t="inlineStr">
        <is>
          <t>332F0C3F-2528-4F26-91A1-BD46E18DC195</t>
        </is>
      </c>
      <c r="C66" t="n">
        <v>1120</v>
      </c>
      <c r="D66" t="n">
        <v>7167</v>
      </c>
      <c r="E66" t="inlineStr">
        <is>
          <t>ATM</t>
        </is>
      </c>
      <c r="F66" t="inlineStr">
        <is>
          <t>CARIBE</t>
        </is>
      </c>
      <c r="G66" t="inlineStr">
        <is>
          <t>ATLANTICO</t>
        </is>
      </c>
      <c r="H66" t="inlineStr">
        <is>
          <t>SABANALARGA</t>
        </is>
      </c>
      <c r="I66" t="n">
        <v>1</v>
      </c>
      <c r="J66" t="n">
        <v>1</v>
      </c>
      <c r="K66" t="inlineStr">
        <is>
          <t>Alta</t>
        </is>
      </c>
      <c r="L66" t="inlineStr">
        <is>
          <t>WF 1055 - ZO09-Zonas 24H-Tamper y Antimascara AP:A</t>
        </is>
      </c>
      <c r="M66" t="inlineStr">
        <is>
          <t>activación tamper y antimascara</t>
        </is>
      </c>
      <c r="N66" t="inlineStr">
        <is>
          <t>activación tamper y antimascara</t>
        </is>
      </c>
      <c r="O66" t="inlineStr">
        <is>
          <t>7167 C SABANALARGA - 1120 - DIEBOLD - BK</t>
        </is>
      </c>
      <c r="P66" t="inlineStr">
        <is>
          <t>Honeywell7810PC-1120-78-4</t>
        </is>
      </c>
      <c r="Q66" t="inlineStr">
        <is>
          <t xml:space="preserve">TAMPER SISMICO COFRE CAJERO </t>
        </is>
      </c>
      <c r="R66" t="inlineStr">
        <is>
          <t>Honeywell</t>
        </is>
      </c>
      <c r="S66" t="n">
        <v>0</v>
      </c>
      <c r="T66" t="inlineStr">
        <is>
          <t>kelly aguirre</t>
        </is>
      </c>
      <c r="U66" t="inlineStr">
        <is>
          <t>Mal manejo</t>
        </is>
      </c>
      <c r="V66" t="inlineStr">
        <is>
          <t>ATLAS</t>
        </is>
      </c>
      <c r="W66" t="inlineStr">
        <is>
          <t>BRINKS</t>
        </is>
      </c>
      <c r="X66">
        <f>EXACT(TRIM(UPPER(V66)), TRIM(UPPER(W66)))</f>
        <v/>
      </c>
      <c r="Y66" t="inlineStr"/>
      <c r="Z66" t="n">
        <v>10</v>
      </c>
      <c r="AA66" t="inlineStr">
        <is>
          <t>Oportuno</t>
        </is>
      </c>
      <c r="AB66" s="1" t="n">
        <v>46214.58931712963</v>
      </c>
      <c r="AC66" s="1" t="n">
        <v>46214.58943287037</v>
      </c>
      <c r="AD66" s="1" t="n">
        <v>46214.59837962963</v>
      </c>
      <c r="AE66" t="n">
        <v>783</v>
      </c>
      <c r="AF66" t="inlineStr">
        <is>
          <t>[2026-07-11 14:09:39] kelly aguirre: [SOP:1] Validando Video ✅ [SOP:2] Enviando Reacción ✅ [SOP:3] Documentando ✅ || [2026-07-11 14:10:03] kelly aguirre: Por video se observa al momento de la     activación que en el punto esta TDV AT || [2026-07-11 14:10:07] kelly aguirre: PERSONAL DE LA TDV EN SITIO NO REALIZA BYPASS DE LA ZONA EN ACTIVACION LA CUAL OCASIONA ACTIVACIONES</t>
        </is>
      </c>
    </row>
    <row r="67">
      <c r="A67" t="inlineStr">
        <is>
          <t>B0374FF8-1FCC-4C44-91F4-3A8C83291386</t>
        </is>
      </c>
      <c r="B67" t="inlineStr">
        <is>
          <t>38BA3A40-94D6-4702-B502-64E8557DFD22</t>
        </is>
      </c>
      <c r="C67" t="n">
        <v>8702</v>
      </c>
      <c r="D67" t="n">
        <v>3209</v>
      </c>
      <c r="E67" t="inlineStr">
        <is>
          <t>ATM</t>
        </is>
      </c>
      <c r="F67" t="inlineStr">
        <is>
          <t>BOG Y SABANA</t>
        </is>
      </c>
      <c r="G67" t="inlineStr">
        <is>
          <t>CUNDINAMARCA</t>
        </is>
      </c>
      <c r="H67" t="inlineStr">
        <is>
          <t>BOGOTÁ, D.C.</t>
        </is>
      </c>
      <c r="I67" t="n">
        <v>1</v>
      </c>
      <c r="J67" t="n">
        <v>1</v>
      </c>
      <c r="K67" t="inlineStr">
        <is>
          <t>Alta</t>
        </is>
      </c>
      <c r="L67" t="inlineStr">
        <is>
          <t>WF 1047 - ZO01-Zonas 24H-ATM-AP:Disarm</t>
        </is>
      </c>
      <c r="M67" t="inlineStr">
        <is>
          <t>activación perimetral</t>
        </is>
      </c>
      <c r="N67" t="inlineStr">
        <is>
          <t>activación perimetral atm</t>
        </is>
      </c>
      <c r="O67" t="inlineStr">
        <is>
          <t>3209 3210 C PORTAL 80 - 8702 - ATL - NCR</t>
        </is>
      </c>
      <c r="P67" t="inlineStr">
        <is>
          <t>SGIII-8702-3-1</t>
        </is>
      </c>
      <c r="Q67" t="inlineStr">
        <is>
          <t>MAGNETICO EQUIPO COMUNICACIONES CAJERO</t>
        </is>
      </c>
      <c r="R67" t="inlineStr">
        <is>
          <t>SGIII</t>
        </is>
      </c>
      <c r="S67" t="n">
        <v>0</v>
      </c>
      <c r="T67" t="inlineStr">
        <is>
          <t>Jhon Fredy Ocampo Yepez</t>
        </is>
      </c>
      <c r="U67" t="inlineStr">
        <is>
          <t>Mal manejo</t>
        </is>
      </c>
      <c r="V67" t="inlineStr">
        <is>
          <t>VATCO</t>
        </is>
      </c>
      <c r="W67" t="inlineStr">
        <is>
          <t>ATLAS</t>
        </is>
      </c>
      <c r="X67">
        <f>EXACT(TRIM(UPPER(V67)), TRIM(UPPER(W67)))</f>
        <v/>
      </c>
      <c r="Y67" t="inlineStr"/>
      <c r="Z67" t="n">
        <v>8</v>
      </c>
      <c r="AA67" t="inlineStr">
        <is>
          <t>Oportuno</t>
        </is>
      </c>
      <c r="AB67" s="1" t="n">
        <v>46215.44716435186</v>
      </c>
      <c r="AC67" s="1" t="n">
        <v>46215.44725694445</v>
      </c>
      <c r="AD67" s="1" t="n">
        <v>46215.46155092592</v>
      </c>
      <c r="AE67" t="n">
        <v>1243</v>
      </c>
      <c r="AF67" t="inlineStr">
        <is>
          <t>[2026-07-12 10:44:38] Jhon Fredy Ocampo Yepez: [SOP:1] Validando Video ✅ [SOP:2] Enviando Reacción ✅ [SOP:3] Documentando ✅ || [2026-07-12 10:44:41] Jhon Fredy Ocampo Yepez: Se verifica por video COMMAND , Todas las cámaras en tiempo real, se observa el SITIO en aparente normalidad y sin afectación alguna Se observa personal de la TDV VATCO en el sitio || [2026-07-12 11:04:31] Jhon Fredy Ocampo Yepez: Mal manejo por no bypassear zona</t>
        </is>
      </c>
    </row>
    <row r="68">
      <c r="A68" t="inlineStr">
        <is>
          <t>B0374FF8-1FCC-4C44-91F4-3A8C83291386</t>
        </is>
      </c>
      <c r="B68" t="inlineStr">
        <is>
          <t>2BE213DE-34F4-462C-A42D-17C7B33EBB92</t>
        </is>
      </c>
      <c r="C68" t="n">
        <v>8702</v>
      </c>
      <c r="D68" t="n">
        <v>3209</v>
      </c>
      <c r="E68" t="inlineStr">
        <is>
          <t>ATM</t>
        </is>
      </c>
      <c r="F68" t="inlineStr">
        <is>
          <t>BOG Y SABANA</t>
        </is>
      </c>
      <c r="G68" t="inlineStr">
        <is>
          <t>CUNDINAMARCA</t>
        </is>
      </c>
      <c r="H68" t="inlineStr">
        <is>
          <t>BOGOTÁ, D.C.</t>
        </is>
      </c>
      <c r="I68" t="n">
        <v>0</v>
      </c>
      <c r="J68" t="n">
        <v>1</v>
      </c>
      <c r="K68" t="inlineStr">
        <is>
          <t>Alta</t>
        </is>
      </c>
      <c r="L68" t="inlineStr">
        <is>
          <t>WF 1047 - ZO01-Zonas 24H-ATM-AP:Disarm</t>
        </is>
      </c>
      <c r="M68" t="inlineStr">
        <is>
          <t>activación perimetral</t>
        </is>
      </c>
      <c r="N68" t="inlineStr">
        <is>
          <t>activación perimetral atm</t>
        </is>
      </c>
      <c r="O68" t="inlineStr">
        <is>
          <t>3209 C PORTAL 80 AT - 8702 - ATL - NCR</t>
        </is>
      </c>
      <c r="P68" t="inlineStr">
        <is>
          <t>SGIII-8702-4-2</t>
        </is>
      </c>
      <c r="Q68" t="inlineStr">
        <is>
          <t>MICROSUICHE CONTRATAPA INFERIOR CAJERO</t>
        </is>
      </c>
      <c r="R68" t="inlineStr">
        <is>
          <t>SGIII</t>
        </is>
      </c>
      <c r="S68" t="n">
        <v>0</v>
      </c>
      <c r="T68" t="inlineStr">
        <is>
          <t>Jhon Fredy Ocampo Yepez</t>
        </is>
      </c>
      <c r="U68" t="inlineStr">
        <is>
          <t>Mal manejo</t>
        </is>
      </c>
      <c r="V68" t="inlineStr">
        <is>
          <t>VATCO</t>
        </is>
      </c>
      <c r="W68" t="inlineStr">
        <is>
          <t>ATLAS</t>
        </is>
      </c>
      <c r="X68">
        <f>EXACT(TRIM(UPPER(V68)), TRIM(UPPER(W68)))</f>
        <v/>
      </c>
      <c r="Y68" t="inlineStr"/>
      <c r="Z68" t="n">
        <v>2</v>
      </c>
      <c r="AA68" t="inlineStr">
        <is>
          <t>Oportuno</t>
        </is>
      </c>
      <c r="AB68" s="1" t="n">
        <v>46215.44856481482</v>
      </c>
      <c r="AC68" s="1" t="n">
        <v>46215.44858796296</v>
      </c>
      <c r="AD68" s="1" t="n">
        <v>46215.46155092592</v>
      </c>
      <c r="AE68" t="n">
        <v>1122</v>
      </c>
      <c r="AF68" t="inlineStr">
        <is>
          <t>[2026-07-12 11:04:31] Jhon Fredy Ocampo Yepez: Mal manejo por no bypassear zona</t>
        </is>
      </c>
    </row>
    <row r="69">
      <c r="A69" t="inlineStr">
        <is>
          <t>FAA6FA10-0FB6-47F7-8B2B-80AC373C2FA3</t>
        </is>
      </c>
      <c r="B69" t="inlineStr">
        <is>
          <t>D0705EFA-4C24-4253-84E9-FE31929F07DB</t>
        </is>
      </c>
      <c r="C69" t="n">
        <v>7482</v>
      </c>
      <c r="D69" t="n">
        <v>7121</v>
      </c>
      <c r="E69" t="inlineStr">
        <is>
          <t>ATM</t>
        </is>
      </c>
      <c r="F69" t="inlineStr">
        <is>
          <t>BOG Y SABANA</t>
        </is>
      </c>
      <c r="G69" t="inlineStr">
        <is>
          <t>CUNDINAMARCA</t>
        </is>
      </c>
      <c r="H69" t="inlineStr">
        <is>
          <t>BOGOTÁ, D.C.</t>
        </is>
      </c>
      <c r="I69" t="n">
        <v>0</v>
      </c>
      <c r="J69" t="n">
        <v>1</v>
      </c>
      <c r="K69" t="inlineStr">
        <is>
          <t>Alta</t>
        </is>
      </c>
      <c r="L69" t="inlineStr">
        <is>
          <t>WF 1047 - ZO01-Zonas 24H-ATM-AP:Disarm</t>
        </is>
      </c>
      <c r="M69" t="inlineStr">
        <is>
          <t>activación perimetral</t>
        </is>
      </c>
      <c r="N69" t="inlineStr">
        <is>
          <t>activación perimetral atm</t>
        </is>
      </c>
      <c r="O69" t="inlineStr">
        <is>
          <t>7121 C MULTIFUNCIONAL PLAZA CLARO - 7482 - ATL - DIEBOLD</t>
        </is>
      </c>
      <c r="P69" t="inlineStr">
        <is>
          <t>Honeywell7810PC-7482-54-2</t>
        </is>
      </c>
      <c r="Q69" t="inlineStr">
        <is>
          <t xml:space="preserve">MAGNETICO CONTRATAPA INFERIOR CAJERO </t>
        </is>
      </c>
      <c r="R69" t="inlineStr">
        <is>
          <t>Honeywell</t>
        </is>
      </c>
      <c r="S69" t="n">
        <v>0</v>
      </c>
      <c r="T69" t="inlineStr">
        <is>
          <t>JHON DAIRO ESCOBAR GARCIA</t>
        </is>
      </c>
      <c r="U69" t="inlineStr">
        <is>
          <t>Mal manejo</t>
        </is>
      </c>
      <c r="V69" t="inlineStr">
        <is>
          <t>TRANSBANK</t>
        </is>
      </c>
      <c r="W69" t="inlineStr">
        <is>
          <t>ATLAS</t>
        </is>
      </c>
      <c r="X69">
        <f>EXACT(TRIM(UPPER(V69)), TRIM(UPPER(W69)))</f>
        <v/>
      </c>
      <c r="Y69" t="inlineStr"/>
      <c r="Z69" t="n">
        <v>4</v>
      </c>
      <c r="AA69" t="inlineStr">
        <is>
          <t>Oportuno</t>
        </is>
      </c>
      <c r="AB69" s="1" t="n">
        <v>46216.26837962963</v>
      </c>
      <c r="AC69" s="1" t="n">
        <v>46216.26842592593</v>
      </c>
      <c r="AD69" s="1" t="n">
        <v>46216.47231481481</v>
      </c>
      <c r="AE69" t="n">
        <v>17620</v>
      </c>
      <c r="AF69" t="inlineStr"/>
    </row>
    <row r="70">
      <c r="A70" t="inlineStr">
        <is>
          <t>5052E077-DA19-4C20-919D-28C3D3521EF3</t>
        </is>
      </c>
      <c r="B70" t="inlineStr">
        <is>
          <t>0CE2F283-8DF2-4268-A15E-7A36086C9EDA</t>
        </is>
      </c>
      <c r="C70" t="n">
        <v>1778</v>
      </c>
      <c r="D70" t="n">
        <v>778</v>
      </c>
      <c r="E70" t="inlineStr">
        <is>
          <t>Sucursal</t>
        </is>
      </c>
      <c r="F70" t="inlineStr">
        <is>
          <t>SUR</t>
        </is>
      </c>
      <c r="G70" t="inlineStr">
        <is>
          <t>QUINDIO</t>
        </is>
      </c>
      <c r="H70" t="inlineStr">
        <is>
          <t>CALARCÁ</t>
        </is>
      </c>
      <c r="I70" t="n">
        <v>1</v>
      </c>
      <c r="J70" t="n">
        <v>1</v>
      </c>
      <c r="K70" t="inlineStr">
        <is>
          <t>Alta</t>
        </is>
      </c>
      <c r="L70" t="inlineStr">
        <is>
          <t>WF 1044 - SE03-Clave Coaccion</t>
        </is>
      </c>
      <c r="M70" t="inlineStr">
        <is>
          <t>clave coacción</t>
        </is>
      </c>
      <c r="N70" t="inlineStr">
        <is>
          <t>clave coacción</t>
        </is>
      </c>
      <c r="O70" t="inlineStr">
        <is>
          <t xml:space="preserve">0778 S CALARCA - 1778 </t>
        </is>
      </c>
      <c r="P70" t="inlineStr">
        <is>
          <t>Honeywell7810PC-1778</t>
        </is>
      </c>
      <c r="Q70" t="inlineStr">
        <is>
          <t>PANEL</t>
        </is>
      </c>
      <c r="R70" t="inlineStr">
        <is>
          <t>Honeywell</t>
        </is>
      </c>
      <c r="S70" t="n">
        <v>0</v>
      </c>
      <c r="T70" t="inlineStr">
        <is>
          <t>Neidy Martínez</t>
        </is>
      </c>
      <c r="U70" t="inlineStr">
        <is>
          <t>Mal manejo</t>
        </is>
      </c>
      <c r="V70" t="inlineStr">
        <is>
          <t>TRANSBANK</t>
        </is>
      </c>
      <c r="W70" t="inlineStr">
        <is>
          <t>FUNCIONARIOS</t>
        </is>
      </c>
      <c r="X70">
        <f>EXACT(TRIM(UPPER(V70)), TRIM(UPPER(W70)))</f>
        <v/>
      </c>
      <c r="Y70" t="inlineStr"/>
      <c r="Z70" t="n">
        <v>4</v>
      </c>
      <c r="AA70" t="inlineStr">
        <is>
          <t>Oportuno</t>
        </is>
      </c>
      <c r="AB70" s="1" t="n">
        <v>46216.31410879629</v>
      </c>
      <c r="AC70" s="1" t="n">
        <v>46216.31415509259</v>
      </c>
      <c r="AD70" s="1" t="n">
        <v>46216.46266203704</v>
      </c>
      <c r="AE70" t="n">
        <v>12835</v>
      </c>
      <c r="AF70" t="inlineStr">
        <is>
          <t>[2026-07-13 07:32:29] Neidy Martínez: [SOP:1] Validando Video ✅ [SOP:2] Enviando Reacción ✅ [SOP:3] Documentando ✅ || [2026-07-13 07:33:10] Neidy Martínez: Se verifica por video command, cámara relacionada en tiempo real se observa sitio en aparente normalidad, BOVEDA ILUMINADA. cucusal cerrada || [2026-07-13 10:04:33] Neidy Martínez: Se valida por video command se observa tdv TRANSBANK en ATM 7643 || [2026-07-13 10:04:46] Neidy Martínez: Mal manejo, personal en sitio no reporta novedad a la cosfe, mal uso de la coacción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2026-07-15T18:12:28Z</dcterms:created>
  <dcterms:modified xsi:type="dcterms:W3CDTF">2026-07-15T18:12:28Z</dcterms:modified>
</cp:coreProperties>
</file>