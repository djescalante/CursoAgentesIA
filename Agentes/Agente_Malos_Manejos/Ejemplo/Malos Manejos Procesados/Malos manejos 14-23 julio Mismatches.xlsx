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IdGrupo</t>
        </is>
      </c>
      <c r="B1" t="inlineStr">
        <is>
          <t>IdAlarma</t>
        </is>
      </c>
      <c r="C1" t="inlineStr">
        <is>
          <t>Abonado</t>
        </is>
      </c>
      <c r="D1" t="inlineStr">
        <is>
          <t>codigo</t>
        </is>
      </c>
      <c r="E1" t="inlineStr">
        <is>
          <t>Tipo de Sitio</t>
        </is>
      </c>
      <c r="F1" t="inlineStr">
        <is>
          <t>Region</t>
        </is>
      </c>
      <c r="G1" t="inlineStr">
        <is>
          <t>departamento</t>
        </is>
      </c>
      <c r="H1" t="inlineStr">
        <is>
          <t>Municipio</t>
        </is>
      </c>
      <c r="I1" t="inlineStr">
        <is>
          <t>EsPadre</t>
        </is>
      </c>
      <c r="J1" t="inlineStr">
        <is>
          <t>Prioridad</t>
        </is>
      </c>
      <c r="K1" t="inlineStr">
        <is>
          <t>Prioridades</t>
        </is>
      </c>
      <c r="L1" t="inlineStr">
        <is>
          <t>DescripcionAlarma</t>
        </is>
      </c>
      <c r="M1" t="inlineStr">
        <is>
          <t>Grupo de incidente</t>
        </is>
      </c>
      <c r="N1" t="inlineStr">
        <is>
          <t>tipo de incidente</t>
        </is>
      </c>
      <c r="O1" t="inlineStr">
        <is>
          <t>Ubicacion</t>
        </is>
      </c>
      <c r="P1" t="inlineStr">
        <is>
          <t>NombreDispositivo</t>
        </is>
      </c>
      <c r="Q1" t="inlineStr">
        <is>
          <t>AliasDispositivo</t>
        </is>
      </c>
      <c r="R1" t="inlineStr">
        <is>
          <t>TipoSensor</t>
        </is>
      </c>
      <c r="S1" t="inlineStr">
        <is>
          <t>ConteoDuplicados</t>
        </is>
      </c>
      <c r="T1" t="inlineStr">
        <is>
          <t>ReconocidoPorNombre</t>
        </is>
      </c>
      <c r="U1" t="inlineStr">
        <is>
          <t>EtiquetaCierre</t>
        </is>
      </c>
      <c r="V1" t="inlineStr">
        <is>
          <t>ResponsableCierre</t>
        </is>
      </c>
      <c r="W1" t="inlineStr">
        <is>
          <t>Cajeros PD</t>
        </is>
      </c>
      <c r="X1" t="inlineStr">
        <is>
          <t>Coincicde?</t>
        </is>
      </c>
      <c r="Y1" t="inlineStr">
        <is>
          <t>ComentarioCierre</t>
        </is>
      </c>
      <c r="Z1" t="inlineStr">
        <is>
          <t>ANS</t>
        </is>
      </c>
      <c r="AA1" t="inlineStr">
        <is>
          <t>Cumplimiento_ANS</t>
        </is>
      </c>
      <c r="AB1" t="inlineStr">
        <is>
          <t>FechaCreacion</t>
        </is>
      </c>
      <c r="AC1" t="inlineStr">
        <is>
          <t>Unnamed: 26</t>
        </is>
      </c>
      <c r="AD1" t="inlineStr">
        <is>
          <t>FechaReconocimiento</t>
        </is>
      </c>
      <c r="AE1" t="inlineStr">
        <is>
          <t>FechaCierre</t>
        </is>
      </c>
      <c r="AF1" t="inlineStr">
        <is>
          <t>ANS_cierre</t>
        </is>
      </c>
      <c r="AG1" t="inlineStr">
        <is>
          <t>NotasResumenGrupo</t>
        </is>
      </c>
    </row>
    <row r="2">
      <c r="A2" t="inlineStr">
        <is>
          <t>F5591BBD-FAC0-4446-B8F9-D33A4AEA5DE8</t>
        </is>
      </c>
      <c r="B2" t="inlineStr">
        <is>
          <t>F74EEE52-53F6-4FB4-9F58-75AA120DDC5A</t>
        </is>
      </c>
      <c r="C2" t="n">
        <v>1163</v>
      </c>
      <c r="D2" t="n">
        <v>4130</v>
      </c>
      <c r="E2" t="inlineStr">
        <is>
          <t>ATM</t>
        </is>
      </c>
      <c r="F2" t="inlineStr">
        <is>
          <t>ANTIOQUIA</t>
        </is>
      </c>
      <c r="G2" t="inlineStr">
        <is>
          <t>ANTIOQUIA</t>
        </is>
      </c>
      <c r="H2" t="inlineStr">
        <is>
          <t>PUERTO BERRIO</t>
        </is>
      </c>
      <c r="I2" t="n">
        <v>0</v>
      </c>
      <c r="J2" t="n">
        <v>2</v>
      </c>
      <c r="K2" t="inlineStr">
        <is>
          <t>Media</t>
        </is>
      </c>
      <c r="L2" t="inlineStr">
        <is>
          <t>WF 1047 - ZO01-Zonas 24H-ATM-AP:Disarm</t>
        </is>
      </c>
      <c r="M2" t="inlineStr">
        <is>
          <t>activación perimetral</t>
        </is>
      </c>
      <c r="N2" t="inlineStr">
        <is>
          <t>activación perimetral atm</t>
        </is>
      </c>
      <c r="O2" t="inlineStr">
        <is>
          <t>4130 C PUERTO BERRIO - 1163 - AdminSUC - DIEBOLD</t>
        </is>
      </c>
      <c r="P2" t="inlineStr">
        <is>
          <t>Honeywell7810PC-1163-88-6</t>
        </is>
      </c>
      <c r="Q2" t="inlineStr">
        <is>
          <t xml:space="preserve">MAGNETICO COFRE CAJERO </t>
        </is>
      </c>
      <c r="R2" t="inlineStr">
        <is>
          <t>Honeywell</t>
        </is>
      </c>
      <c r="S2" t="n">
        <v>0</v>
      </c>
      <c r="T2" t="inlineStr">
        <is>
          <t>CARLOS  CORONADO</t>
        </is>
      </c>
      <c r="U2" t="inlineStr">
        <is>
          <t>Mal manejo</t>
        </is>
      </c>
      <c r="V2" t="inlineStr">
        <is>
          <t>SUC</t>
        </is>
      </c>
      <c r="W2" t="inlineStr">
        <is>
          <t>FUNCIONARIOS</t>
        </is>
      </c>
      <c r="X2">
        <f>EXACT(TRIM(UPPER(V2)), TRIM(UPPER(W2)))</f>
        <v/>
      </c>
      <c r="Y2" t="inlineStr"/>
      <c r="Z2" t="n">
        <v>2</v>
      </c>
      <c r="AA2" t="inlineStr">
        <is>
          <t>Oportuno</t>
        </is>
      </c>
      <c r="AB2" s="1" t="n">
        <v>46218.7225</v>
      </c>
      <c r="AC2" t="n">
        <v>15</v>
      </c>
      <c r="AD2" s="1" t="n">
        <v>46218.72252314815</v>
      </c>
      <c r="AE2" s="1" t="n">
        <v>46218.76842592593</v>
      </c>
      <c r="AF2" t="n">
        <v>3968</v>
      </c>
      <c r="AG2" t="inlineStr"/>
    </row>
    <row r="3">
      <c r="A3" t="inlineStr">
        <is>
          <t>B0221A32-820B-4BC4-B8FA-20CD30696A61</t>
        </is>
      </c>
      <c r="B3" t="inlineStr">
        <is>
          <t>51249B26-5CE8-445E-B31F-A30362D94DCD</t>
        </is>
      </c>
      <c r="C3" t="n">
        <v>7447</v>
      </c>
      <c r="D3" t="n">
        <v>7384</v>
      </c>
      <c r="E3" t="inlineStr">
        <is>
          <t>ATM</t>
        </is>
      </c>
      <c r="F3" t="inlineStr">
        <is>
          <t>BOG Y SABANA</t>
        </is>
      </c>
      <c r="G3" t="inlineStr">
        <is>
          <t>CUNDINAMARCA</t>
        </is>
      </c>
      <c r="H3" t="inlineStr">
        <is>
          <t>BOGOTÁ, D.C.</t>
        </is>
      </c>
      <c r="I3" t="n">
        <v>1</v>
      </c>
      <c r="J3" t="n">
        <v>2</v>
      </c>
      <c r="K3" t="inlineStr">
        <is>
          <t>Media</t>
        </is>
      </c>
      <c r="L3" t="inlineStr">
        <is>
          <t>WF 1047 - ZO01-Zonas 24H-ATM-AP:Disarm</t>
        </is>
      </c>
      <c r="M3" t="inlineStr">
        <is>
          <t>activación perimetral</t>
        </is>
      </c>
      <c r="N3" t="inlineStr">
        <is>
          <t>activación perimetral atm</t>
        </is>
      </c>
      <c r="O3" t="inlineStr">
        <is>
          <t>7384 C CARULLA SAN NICOLAS - 7447 - VT - DIEBOLD</t>
        </is>
      </c>
      <c r="P3" t="inlineStr">
        <is>
          <t>SGIII-7447-2-1</t>
        </is>
      </c>
      <c r="Q3" t="inlineStr">
        <is>
          <t>MICROSUICHE CONTRATAPA TECLADO CAJERO</t>
        </is>
      </c>
      <c r="R3" t="inlineStr">
        <is>
          <t>SGIII</t>
        </is>
      </c>
      <c r="S3" t="n">
        <v>0</v>
      </c>
      <c r="T3" t="inlineStr">
        <is>
          <t>EDWER DANIEL MUÑOZ</t>
        </is>
      </c>
      <c r="U3" t="inlineStr">
        <is>
          <t>Mal manejo</t>
        </is>
      </c>
      <c r="V3" t="inlineStr">
        <is>
          <t>NCR</t>
        </is>
      </c>
      <c r="W3" t="inlineStr">
        <is>
          <t>DIEBOLD</t>
        </is>
      </c>
      <c r="X3">
        <f>EXACT(TRIM(UPPER(V3)), TRIM(UPPER(W3)))</f>
        <v/>
      </c>
      <c r="Y3" t="inlineStr"/>
      <c r="Z3" t="n">
        <v>7</v>
      </c>
      <c r="AA3" t="inlineStr">
        <is>
          <t>Oportuno</t>
        </is>
      </c>
      <c r="AB3" s="1" t="n">
        <v>46221.52576388889</v>
      </c>
      <c r="AC3" t="n">
        <v>18</v>
      </c>
      <c r="AD3" s="1" t="n">
        <v>46221.52584490741</v>
      </c>
      <c r="AE3" s="1" t="n">
        <v>46221.5278125</v>
      </c>
      <c r="AF3" t="n">
        <v>177</v>
      </c>
      <c r="AG3" t="inlineStr">
        <is>
          <t>[2026-07-18 12:37:38] EDWER DANIEL MUÑOZ: [SOP:1] Validando Video ✅ [SOP:2] Enviando Reacción ✅ [SOP:3] Documentando ✅ || [2026-07-18 12:38:30] EDWER DANIEL MUÑOZ: TEC Se verifica por video cámara relacionada en tiempo real, activación de la zona,   SIN DESARME DE LA PARTICIÓN,     MAL MANEJO en sitio TÉCNICO NCR</t>
        </is>
      </c>
    </row>
    <row r="4">
      <c r="A4" t="inlineStr">
        <is>
          <t>09500E71-5FD8-43CE-9937-6DC48F74548D</t>
        </is>
      </c>
      <c r="B4" t="inlineStr">
        <is>
          <t>187C1603-23FE-4787-84A5-10616B32DEC8</t>
        </is>
      </c>
      <c r="C4" t="n">
        <v>7379</v>
      </c>
      <c r="D4" t="n">
        <v>6244</v>
      </c>
      <c r="E4" t="inlineStr">
        <is>
          <t>ATM</t>
        </is>
      </c>
      <c r="F4" t="inlineStr">
        <is>
          <t>CARIBE</t>
        </is>
      </c>
      <c r="G4" t="inlineStr">
        <is>
          <t>BOLIVAR</t>
        </is>
      </c>
      <c r="H4" t="inlineStr">
        <is>
          <t>CARTAGENA</t>
        </is>
      </c>
      <c r="I4" t="n">
        <v>1</v>
      </c>
      <c r="J4" t="n">
        <v>2</v>
      </c>
      <c r="K4" t="inlineStr">
        <is>
          <t>Media</t>
        </is>
      </c>
      <c r="L4" t="inlineStr">
        <is>
          <t>WF 1055 - ZO09-Zonas 24H-Tamper y Antimascara AP:A</t>
        </is>
      </c>
      <c r="M4" t="inlineStr">
        <is>
          <t>activación tamper y antimascara</t>
        </is>
      </c>
      <c r="N4" t="inlineStr">
        <is>
          <t>activación tamper y antimascara</t>
        </is>
      </c>
      <c r="O4" t="inlineStr">
        <is>
          <t>6244 6976 7635 7636 9813 C HALL LA MATUNA - 7379 - BK - BELLTECH</t>
        </is>
      </c>
      <c r="P4" t="inlineStr">
        <is>
          <t>SGIII-7379-8-1</t>
        </is>
      </c>
      <c r="Q4" t="inlineStr">
        <is>
          <t xml:space="preserve">TAMPER CENTRAL ALARMA CAJERO </t>
        </is>
      </c>
      <c r="R4" t="inlineStr">
        <is>
          <t>SGIII</t>
        </is>
      </c>
      <c r="S4" t="n">
        <v>1</v>
      </c>
      <c r="T4" t="inlineStr">
        <is>
          <t>Jhon Fredy Ocampo Yepez</t>
        </is>
      </c>
      <c r="U4" t="inlineStr">
        <is>
          <t>Mal manejo</t>
        </is>
      </c>
      <c r="V4" t="inlineStr">
        <is>
          <t>DIEBOLD</t>
        </is>
      </c>
      <c r="W4" t="inlineStr">
        <is>
          <t>BELLTECH</t>
        </is>
      </c>
      <c r="X4">
        <f>EXACT(TRIM(UPPER(V4)), TRIM(UPPER(W4)))</f>
        <v/>
      </c>
      <c r="Y4" t="inlineStr"/>
      <c r="Z4" t="n">
        <v>11</v>
      </c>
      <c r="AA4" t="inlineStr">
        <is>
          <t>Oportuno</t>
        </is>
      </c>
      <c r="AB4" s="1" t="n">
        <v>46225.40084490741</v>
      </c>
      <c r="AC4" t="n">
        <v>22</v>
      </c>
      <c r="AD4" s="1" t="n">
        <v>46225.40097222223</v>
      </c>
      <c r="AE4" s="1" t="n">
        <v>46225.4022800926</v>
      </c>
      <c r="AF4" t="n">
        <v>124</v>
      </c>
      <c r="AG4" t="inlineStr">
        <is>
          <t>[2026-07-22 09:38:00] Jhon Fredy Ocampo Yepez: [SOP:1] Validando Video ✅ [SOP:2] Enviando Reacción ✅ [SOP:3] Documentando ✅ || [2026-07-22 09:38:23] Jhon Fredy Ocampo Yepez: Se verifica por video COMMAND , Todas las cámaras en tiempo real, se observa el SITIO en aparente normalidad y sin afectación alguna Se observa personal TECNICO DE DIEBOLD en el sitio || [2026-07-22 09:38:43] Jhon Fredy Ocampo Yepez: Mal manejo por no bypassear Zona</t>
        </is>
      </c>
    </row>
    <row r="5">
      <c r="A5" t="inlineStr">
        <is>
          <t>8D929653-EA2F-4D6A-B7EF-B0345B7D358D</t>
        </is>
      </c>
      <c r="B5" t="inlineStr">
        <is>
          <t>F9C0C823-500A-410B-94A4-3BCC95B12211</t>
        </is>
      </c>
      <c r="C5" t="n">
        <v>9416</v>
      </c>
      <c r="D5" t="n">
        <v>6214</v>
      </c>
      <c r="E5" t="inlineStr">
        <is>
          <t>ATM</t>
        </is>
      </c>
      <c r="F5" t="inlineStr">
        <is>
          <t>CARIBE</t>
        </is>
      </c>
      <c r="G5" t="inlineStr">
        <is>
          <t>ATLANTICO</t>
        </is>
      </c>
      <c r="H5" t="inlineStr">
        <is>
          <t>BARRANQUILLA</t>
        </is>
      </c>
      <c r="I5" t="n">
        <v>1</v>
      </c>
      <c r="J5" t="n">
        <v>2</v>
      </c>
      <c r="K5" t="inlineStr">
        <is>
          <t>Media</t>
        </is>
      </c>
      <c r="L5" t="inlineStr">
        <is>
          <t>WF 1047 - ZO01-Zonas 24H-ATM-AP:Disarm</t>
        </is>
      </c>
      <c r="M5" t="inlineStr">
        <is>
          <t>activación perimetral</t>
        </is>
      </c>
      <c r="N5" t="inlineStr">
        <is>
          <t>activación perimetral atm</t>
        </is>
      </c>
      <c r="O5" t="inlineStr">
        <is>
          <t>6214 C MF PASEO BOLIVAR - 9416 - ATL - DIEBOLD</t>
        </is>
      </c>
      <c r="P5" t="inlineStr">
        <is>
          <t>Honeywell7810PC-9416-50-6</t>
        </is>
      </c>
      <c r="Q5" t="inlineStr">
        <is>
          <t xml:space="preserve">MAGNETICO CONTRATAPA INFERIOR CAJERO </t>
        </is>
      </c>
      <c r="R5" t="inlineStr">
        <is>
          <t>Honeywell</t>
        </is>
      </c>
      <c r="S5" t="n">
        <v>1</v>
      </c>
      <c r="T5" t="inlineStr">
        <is>
          <t>NATALIA ANDREA JARAMILLO SALINAS</t>
        </is>
      </c>
      <c r="U5" t="inlineStr">
        <is>
          <t>Mal manejo</t>
        </is>
      </c>
      <c r="V5" t="inlineStr">
        <is>
          <t>ATLAS</t>
        </is>
      </c>
      <c r="W5" t="inlineStr"/>
      <c r="X5">
        <f>EXACT(TRIM(UPPER(V5)), TRIM(UPPER(W5)))</f>
        <v/>
      </c>
      <c r="Y5" t="inlineStr"/>
      <c r="Z5" t="n">
        <v>5</v>
      </c>
      <c r="AA5" t="inlineStr">
        <is>
          <t>Oportuno</t>
        </is>
      </c>
      <c r="AB5" s="1" t="n">
        <v>46226.27040509259</v>
      </c>
      <c r="AC5" t="n">
        <v>23</v>
      </c>
      <c r="AD5" s="1" t="n">
        <v>46226.27046296297</v>
      </c>
      <c r="AE5" s="1" t="n">
        <v>46226.2752662037</v>
      </c>
      <c r="AF5" t="n">
        <v>420</v>
      </c>
      <c r="AG5" t="inlineStr">
        <is>
          <t>[2026-07-23 06:29:33] NATALIA ANDREA JARAMILLO SALINAS: [SOP:1] Validando Video ✅ [SOP:2] Enviando Reacción ✅ [SOP:3] Documentando ✅ || [2026-07-23 06:30:45] NATALIA ANDREA JARAMILLO SALINAS: SE OBSERVA EN SITIO  TDV ATLAS || [2026-07-23 06:34:46] NATALIA ANDREA JARAMILLO SALINAS: Se verifica por video COMMAND , Todas las cámaras en tiempo real, se observa el SITIO en aparente normalidad y siN  afectación alguna // Se  observa  personal de la TDV ATLAS en el sitio || [2026-07-23 06:34:52] NATALIA ANDREA JARAMILLO SALINAS: DESARME NO OPORTUNO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2026-07-29T21:16:16Z</dcterms:created>
  <dcterms:modified xsi:type="dcterms:W3CDTF">2026-07-29T21:16:16Z</dcterms:modified>
</cp:coreProperties>
</file>