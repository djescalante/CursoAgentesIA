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IdGrupo</t>
        </is>
      </c>
      <c r="B1" t="inlineStr">
        <is>
          <t>IdAlarma</t>
        </is>
      </c>
      <c r="C1" t="inlineStr">
        <is>
          <t>Abonado</t>
        </is>
      </c>
      <c r="D1" t="inlineStr">
        <is>
          <t>codigo</t>
        </is>
      </c>
      <c r="E1" t="inlineStr">
        <is>
          <t>Tipo de Sitio</t>
        </is>
      </c>
      <c r="F1" t="inlineStr">
        <is>
          <t>Region</t>
        </is>
      </c>
      <c r="G1" t="inlineStr">
        <is>
          <t>departamento</t>
        </is>
      </c>
      <c r="H1" t="inlineStr">
        <is>
          <t>Municipio</t>
        </is>
      </c>
      <c r="I1" t="inlineStr">
        <is>
          <t>EsPadre</t>
        </is>
      </c>
      <c r="J1" t="inlineStr">
        <is>
          <t>Prioridad</t>
        </is>
      </c>
      <c r="K1" t="inlineStr">
        <is>
          <t>Prioridades</t>
        </is>
      </c>
      <c r="L1" t="inlineStr">
        <is>
          <t>DescripcionAlarma</t>
        </is>
      </c>
      <c r="M1" t="inlineStr">
        <is>
          <t>Grupo de incidente</t>
        </is>
      </c>
      <c r="N1" t="inlineStr">
        <is>
          <t>tipo de incidente</t>
        </is>
      </c>
      <c r="O1" t="inlineStr">
        <is>
          <t>Ubicacion</t>
        </is>
      </c>
      <c r="P1" t="inlineStr">
        <is>
          <t>NombreDispositivo</t>
        </is>
      </c>
      <c r="Q1" t="inlineStr">
        <is>
          <t>AliasDispositivo</t>
        </is>
      </c>
      <c r="R1" t="inlineStr">
        <is>
          <t>TipoSensor</t>
        </is>
      </c>
      <c r="S1" t="inlineStr">
        <is>
          <t>ConteoDuplicados</t>
        </is>
      </c>
      <c r="T1" t="inlineStr">
        <is>
          <t>ReconocidoPorNombre</t>
        </is>
      </c>
      <c r="U1" t="inlineStr">
        <is>
          <t>EtiquetaCierre</t>
        </is>
      </c>
      <c r="V1" t="inlineStr">
        <is>
          <t>ResponsableCierre</t>
        </is>
      </c>
      <c r="W1" t="inlineStr">
        <is>
          <t>Cajeros PD</t>
        </is>
      </c>
      <c r="X1" t="inlineStr">
        <is>
          <t>Coincicde?</t>
        </is>
      </c>
      <c r="Y1" t="inlineStr">
        <is>
          <t>ComentarioCierre</t>
        </is>
      </c>
      <c r="Z1" t="inlineStr">
        <is>
          <t>ANS</t>
        </is>
      </c>
      <c r="AA1" t="inlineStr">
        <is>
          <t>Cumplimiento_ANS</t>
        </is>
      </c>
      <c r="AB1" t="inlineStr">
        <is>
          <t>FechaCreacion</t>
        </is>
      </c>
      <c r="AC1" t="inlineStr">
        <is>
          <t>Unnamed: 26</t>
        </is>
      </c>
      <c r="AD1" t="inlineStr">
        <is>
          <t>FechaReconocimiento</t>
        </is>
      </c>
      <c r="AE1" t="inlineStr">
        <is>
          <t>FechaCierre</t>
        </is>
      </c>
      <c r="AF1" t="inlineStr">
        <is>
          <t>ANS_cierre</t>
        </is>
      </c>
      <c r="AG1" t="inlineStr">
        <is>
          <t>NotasResumenGrupo</t>
        </is>
      </c>
    </row>
    <row r="2">
      <c r="A2" t="inlineStr">
        <is>
          <t>6A97881E-DF27-47A0-9A56-33639343A5A1</t>
        </is>
      </c>
      <c r="B2" t="inlineStr">
        <is>
          <t>6234946D-0C32-4AC3-BD5F-D1763247EE9C</t>
        </is>
      </c>
      <c r="C2" t="n">
        <v>7724</v>
      </c>
      <c r="D2" t="n">
        <v>6345</v>
      </c>
      <c r="E2" t="inlineStr">
        <is>
          <t>ATM</t>
        </is>
      </c>
      <c r="F2" t="inlineStr">
        <is>
          <t>ANTIOQUIA</t>
        </is>
      </c>
      <c r="G2" t="inlineStr">
        <is>
          <t>ANTIOQUIA</t>
        </is>
      </c>
      <c r="H2" t="inlineStr">
        <is>
          <t>MEDELLÍN</t>
        </is>
      </c>
      <c r="I2" t="n">
        <v>1</v>
      </c>
      <c r="J2" t="n">
        <v>1</v>
      </c>
      <c r="K2" t="inlineStr">
        <is>
          <t>Alta</t>
        </is>
      </c>
      <c r="L2" t="inlineStr">
        <is>
          <t>WF 1055 - ZO09-Zonas 24H-Tamper y Antimascara AP:A</t>
        </is>
      </c>
      <c r="M2" t="inlineStr">
        <is>
          <t>activación tamper y antimascara</t>
        </is>
      </c>
      <c r="N2" t="inlineStr">
        <is>
          <t>activación tamper y antimascara</t>
        </is>
      </c>
      <c r="O2" t="inlineStr">
        <is>
          <t>6345 C BARRIO CRISTO REY 2 - 7724 - BK - NCR</t>
        </is>
      </c>
      <c r="P2" t="inlineStr">
        <is>
          <t>SGIII-7724-20-3</t>
        </is>
      </c>
      <c r="Q2" t="inlineStr">
        <is>
          <t>TAMPER SISMICO COFRE CAJERO</t>
        </is>
      </c>
      <c r="R2" t="inlineStr">
        <is>
          <t>SGIII</t>
        </is>
      </c>
      <c r="S2" t="n">
        <v>0</v>
      </c>
      <c r="T2" t="inlineStr">
        <is>
          <t>sirley johana  osorno ciro</t>
        </is>
      </c>
      <c r="U2" t="inlineStr">
        <is>
          <t>Mal manejo</t>
        </is>
      </c>
      <c r="V2" t="inlineStr">
        <is>
          <t>BRINKS</t>
        </is>
      </c>
      <c r="W2" t="inlineStr">
        <is>
          <t>ATLAS</t>
        </is>
      </c>
      <c r="X2">
        <f>EXACT(TRIM(UPPER(V2)), TRIM(UPPER(W2)))</f>
        <v/>
      </c>
      <c r="Y2" t="inlineStr"/>
      <c r="Z2" t="n">
        <v>6</v>
      </c>
      <c r="AA2" t="inlineStr">
        <is>
          <t>Oportuno</t>
        </is>
      </c>
      <c r="AB2" s="1" t="n">
        <v>46217.17010416667</v>
      </c>
      <c r="AC2" t="n">
        <v>14</v>
      </c>
      <c r="AD2" s="1" t="n">
        <v>46217.17017361111</v>
      </c>
      <c r="AE2" s="1" t="n">
        <v>46217.17449074074</v>
      </c>
      <c r="AF2" t="n">
        <v>379</v>
      </c>
      <c r="AG2" t="inlineStr">
        <is>
          <t>[2026-07-14 04:05:07] sirley johana  osorno ciro: [SOP:1] Validando Video ✅ [SOP:2] Enviando Reacción ✅ [SOP:3] Documentando ✅ || [2026-07-14 04:05:37] sirley johana  osorno ciro: - Se realiza la respectiva validación por video COMMAND se observa a la hora todo esta aparentemente sin novedad -- || [2026-07-14 04:05:46] sirley johana  osorno ciro: Se observa a la hora a la hora en tiempo real activación sin desarme por parte de la TDV - BK</t>
        </is>
      </c>
    </row>
    <row r="3">
      <c r="A3" t="inlineStr">
        <is>
          <t>1EE80D25-C903-40E5-A39F-7D024E89E964</t>
        </is>
      </c>
      <c r="B3" t="inlineStr">
        <is>
          <t>1962856E-C3ED-4402-81FB-BA43201AAD7D</t>
        </is>
      </c>
      <c r="C3" t="n">
        <v>7607</v>
      </c>
      <c r="D3" t="n">
        <v>6798</v>
      </c>
      <c r="E3" t="inlineStr">
        <is>
          <t>ATM</t>
        </is>
      </c>
      <c r="F3" t="inlineStr">
        <is>
          <t>CENTRO</t>
        </is>
      </c>
      <c r="G3" t="inlineStr">
        <is>
          <t>HUILA</t>
        </is>
      </c>
      <c r="H3" t="inlineStr">
        <is>
          <t>RIVERA</t>
        </is>
      </c>
      <c r="I3" t="n">
        <v>1</v>
      </c>
      <c r="J3" t="n">
        <v>2</v>
      </c>
      <c r="K3" t="inlineStr">
        <is>
          <t>Media</t>
        </is>
      </c>
      <c r="L3" t="inlineStr">
        <is>
          <t>WF 1047 - ZO01-Zonas 24H-ATM-AP:Disarm</t>
        </is>
      </c>
      <c r="M3" t="inlineStr">
        <is>
          <t>activación perimetral</t>
        </is>
      </c>
      <c r="N3" t="inlineStr">
        <is>
          <t>activación perimetral atm</t>
        </is>
      </c>
      <c r="O3" t="inlineStr">
        <is>
          <t>6798 C LA RIVERA - 7607 - TBS - DIEBOLD</t>
        </is>
      </c>
      <c r="P3" t="inlineStr">
        <is>
          <t>SGIII-7607-5-2</t>
        </is>
      </c>
      <c r="Q3" t="inlineStr">
        <is>
          <t xml:space="preserve">MAGNETICO FASCIA SUPERIOR CAJERO </t>
        </is>
      </c>
      <c r="R3" t="inlineStr">
        <is>
          <t>SGIII</t>
        </is>
      </c>
      <c r="S3" t="n">
        <v>0</v>
      </c>
      <c r="T3" t="inlineStr">
        <is>
          <t>EDWER DANIEL MUÑOZ</t>
        </is>
      </c>
      <c r="U3" t="inlineStr">
        <is>
          <t>Mal manejo</t>
        </is>
      </c>
      <c r="V3" t="inlineStr">
        <is>
          <t>ATLAS</t>
        </is>
      </c>
      <c r="W3" t="inlineStr">
        <is>
          <t>TRANSBANK</t>
        </is>
      </c>
      <c r="X3">
        <f>EXACT(TRIM(UPPER(V3)), TRIM(UPPER(W3)))</f>
        <v/>
      </c>
      <c r="Y3" t="inlineStr"/>
      <c r="Z3" t="n">
        <v>4</v>
      </c>
      <c r="AA3" t="inlineStr">
        <is>
          <t>Oportuno</t>
        </is>
      </c>
      <c r="AB3" s="1" t="n">
        <v>46217.28724537037</v>
      </c>
      <c r="AC3" t="n">
        <v>14</v>
      </c>
      <c r="AD3" s="1" t="n">
        <v>46217.28729166667</v>
      </c>
      <c r="AE3" s="1" t="n">
        <v>46217.29028935185</v>
      </c>
      <c r="AF3" t="n">
        <v>263</v>
      </c>
      <c r="AG3" t="inlineStr">
        <is>
          <t>[2026-07-14 06:53:48] EDWER DANIEL MUÑOZ: [SOP:1] Validando Video ✅ [SOP:2] Enviando Reacción ✅ [SOP:3] Documentando ✅ || [2026-07-14 06:54:52] EDWER DANIEL MUÑOZ: TDV Se verifica por video cámara relacionada en tiempo real, activación de la zona,   SIN DESARME DE LA PARTICIÓN,   MAL MANEJO en sitio TDV TBS || [2026-07-14 06:56:37] JUAN RODOLFO VASQUEZ ALZATE: TDV MAURICIO GARZON REPORTA ACTIVACION POR CLAVE ERRADA</t>
        </is>
      </c>
    </row>
    <row r="4">
      <c r="A4" t="inlineStr">
        <is>
          <t>5E2D5C8F-8CBE-4975-86AA-797C2F840FBF</t>
        </is>
      </c>
      <c r="B4" t="inlineStr">
        <is>
          <t>5EBB2087-AE08-458A-B0AC-9B38F7F5DD29</t>
        </is>
      </c>
      <c r="C4" t="n">
        <v>7328</v>
      </c>
      <c r="D4" t="n">
        <v>7908</v>
      </c>
      <c r="E4" t="inlineStr">
        <is>
          <t>ATM</t>
        </is>
      </c>
      <c r="F4" t="inlineStr">
        <is>
          <t>BOG Y SABANA</t>
        </is>
      </c>
      <c r="G4" t="inlineStr">
        <is>
          <t>CUNDINAMARCA</t>
        </is>
      </c>
      <c r="H4" t="inlineStr">
        <is>
          <t>SOACHA</t>
        </is>
      </c>
      <c r="I4" t="n">
        <v>1</v>
      </c>
      <c r="J4" t="n">
        <v>2</v>
      </c>
      <c r="K4" t="inlineStr">
        <is>
          <t>Media</t>
        </is>
      </c>
      <c r="L4" t="inlineStr">
        <is>
          <t>WF 1047 - ZO01-Zonas 24H-ATM-AP:Disarm</t>
        </is>
      </c>
      <c r="M4" t="inlineStr">
        <is>
          <t>activación perimetral</t>
        </is>
      </c>
      <c r="N4" t="inlineStr">
        <is>
          <t>activación perimetral atm</t>
        </is>
      </c>
      <c r="O4" t="inlineStr">
        <is>
          <t>7908 C SUCURSAL MERCURIO S - 7328 - TBS - DIEBOLD</t>
        </is>
      </c>
      <c r="P4" t="inlineStr">
        <is>
          <t>Honeywell7810PC-7328-22-3</t>
        </is>
      </c>
      <c r="Q4" t="inlineStr">
        <is>
          <t>MICROSUICHE CONTRATAPA INFERIOR</t>
        </is>
      </c>
      <c r="R4" t="inlineStr">
        <is>
          <t>Honeywell</t>
        </is>
      </c>
      <c r="S4" t="n">
        <v>0</v>
      </c>
      <c r="T4" t="inlineStr">
        <is>
          <t>EDWER DANIEL MUÑOZ</t>
        </is>
      </c>
      <c r="U4" t="inlineStr">
        <is>
          <t>Mal manejo</t>
        </is>
      </c>
      <c r="V4" t="inlineStr">
        <is>
          <t>BRINKS</t>
        </is>
      </c>
      <c r="W4" t="inlineStr">
        <is>
          <t>TRANSBANK</t>
        </is>
      </c>
      <c r="X4">
        <f>EXACT(TRIM(UPPER(V4)), TRIM(UPPER(W4)))</f>
        <v/>
      </c>
      <c r="Y4" t="inlineStr"/>
      <c r="Z4" t="n">
        <v>5</v>
      </c>
      <c r="AA4" t="inlineStr">
        <is>
          <t>Oportuno</t>
        </is>
      </c>
      <c r="AB4" s="1" t="n">
        <v>46217.38126157408</v>
      </c>
      <c r="AC4" t="n">
        <v>14</v>
      </c>
      <c r="AD4" s="1" t="n">
        <v>46217.38131944444</v>
      </c>
      <c r="AE4" s="1" t="n">
        <v>46217.38284722222</v>
      </c>
      <c r="AF4" t="n">
        <v>137</v>
      </c>
      <c r="AG4" t="inlineStr">
        <is>
          <t>[2026-07-14 09:09:29] EDWER DANIEL MUÑOZ: [SOP:1] Validando Video ✅ [SOP:2] Enviando Reacción ✅ || [2026-07-14 09:09:46] EDWER DANIEL MUÑOZ: TDV Se verifica por video cámara relacionada en tiempo real, activación de la zona,   SIN DESARME DE LA PARTICIÓN,   MAL MANEJO en sitio TDV TBS || [2026-07-14 09:09:48] EDWER DANIEL MUÑOZ: TDV Se verifica por video cámara relacionada en tiempo real, activación de la zona,   SIN DESARME DE LA PARTICIÓN,   MAL MANEJO en sitio TDV TBS || [2026-07-14 09:09:51] EDWER DANIEL MUÑOZ: [SOP:1] Validando Video ✅ [SOP:2] Enviando Reacción ✅ [SOP:3] Documentando ✅</t>
        </is>
      </c>
    </row>
    <row r="5">
      <c r="A5" t="inlineStr">
        <is>
          <t>47246753-70BC-4D25-8F52-42381EADF7BC</t>
        </is>
      </c>
      <c r="B5" t="inlineStr">
        <is>
          <t>5560B773-2B51-4464-8075-CB6809881ED4</t>
        </is>
      </c>
      <c r="C5" t="n">
        <v>7900</v>
      </c>
      <c r="D5" t="n">
        <v>9246</v>
      </c>
      <c r="E5" t="inlineStr">
        <is>
          <t>ATM</t>
        </is>
      </c>
      <c r="F5" t="inlineStr">
        <is>
          <t>SUR</t>
        </is>
      </c>
      <c r="G5" t="inlineStr">
        <is>
          <t>VALLE DEL CAUCA</t>
        </is>
      </c>
      <c r="H5" t="inlineStr">
        <is>
          <t>PRADERA</t>
        </is>
      </c>
      <c r="I5" t="n">
        <v>1</v>
      </c>
      <c r="J5" t="n">
        <v>2</v>
      </c>
      <c r="K5" t="inlineStr">
        <is>
          <t>Media</t>
        </is>
      </c>
      <c r="L5" t="inlineStr">
        <is>
          <t>WF 1047 - ZO01-Zonas 24H-ATM-AP:Disarm</t>
        </is>
      </c>
      <c r="M5" t="inlineStr">
        <is>
          <t>activación perimetral</t>
        </is>
      </c>
      <c r="N5" t="inlineStr">
        <is>
          <t>activación perimetral atm</t>
        </is>
      </c>
      <c r="O5" t="inlineStr">
        <is>
          <t>9246 C PRADERA - 7900</t>
        </is>
      </c>
      <c r="P5" t="inlineStr">
        <is>
          <t>SGIII-7900-22-3</t>
        </is>
      </c>
      <c r="Q5" t="inlineStr">
        <is>
          <t xml:space="preserve">MAGNETICO FASCIA SUPERIOR CAJERO </t>
        </is>
      </c>
      <c r="R5" t="inlineStr">
        <is>
          <t>SGIII</t>
        </is>
      </c>
      <c r="S5" t="n">
        <v>0</v>
      </c>
      <c r="T5" t="inlineStr">
        <is>
          <t>Adier Cuitiva Mayo</t>
        </is>
      </c>
      <c r="U5" t="inlineStr">
        <is>
          <t>Mal manejo</t>
        </is>
      </c>
      <c r="V5" t="inlineStr">
        <is>
          <t>DIEBOLD</t>
        </is>
      </c>
      <c r="W5" t="inlineStr">
        <is>
          <t>BELLTECH</t>
        </is>
      </c>
      <c r="X5">
        <f>EXACT(TRIM(UPPER(V5)), TRIM(UPPER(W5)))</f>
        <v/>
      </c>
      <c r="Y5" t="inlineStr"/>
      <c r="Z5" t="n">
        <v>4</v>
      </c>
      <c r="AA5" t="inlineStr">
        <is>
          <t>Oportuno</t>
        </is>
      </c>
      <c r="AB5" s="1" t="n">
        <v>46218.3156712963</v>
      </c>
      <c r="AC5" t="n">
        <v>15</v>
      </c>
      <c r="AD5" s="1" t="n">
        <v>46218.3157175926</v>
      </c>
      <c r="AE5" s="1" t="n">
        <v>46218.53770833334</v>
      </c>
      <c r="AF5" t="n">
        <v>19184</v>
      </c>
      <c r="AG5" t="inlineStr">
        <is>
          <t>[2026-07-15 07:34:42] Adier Cuitiva Mayo: [SOP:1] Validando Video ✅ [SOP:2] Enviando Reacción ✅ [SOP:3] Documentando ✅ || [2026-07-15 07:36:45] Adier Cuitiva Mayo: Se verifica por video cámara relacionada en tiempo real, TECNICO BELLTECH en aparente normalidad || [2026-07-15 07:37:02] Adier Cuitiva Mayo: Activación generada por desarme inoportuno</t>
        </is>
      </c>
    </row>
    <row r="6">
      <c r="A6" t="inlineStr">
        <is>
          <t>F5591BBD-FAC0-4446-B8F9-D33A4AEA5DE8</t>
        </is>
      </c>
      <c r="B6" t="inlineStr">
        <is>
          <t>F74EEE52-53F6-4FB4-9F58-75AA120DDC5A</t>
        </is>
      </c>
      <c r="C6" t="n">
        <v>1163</v>
      </c>
      <c r="D6" t="n">
        <v>4130</v>
      </c>
      <c r="E6" t="inlineStr">
        <is>
          <t>ATM</t>
        </is>
      </c>
      <c r="F6" t="inlineStr">
        <is>
          <t>ANTIOQUIA</t>
        </is>
      </c>
      <c r="G6" t="inlineStr">
        <is>
          <t>ANTIOQUIA</t>
        </is>
      </c>
      <c r="H6" t="inlineStr">
        <is>
          <t>PUERTO BERRIO</t>
        </is>
      </c>
      <c r="I6" t="n">
        <v>0</v>
      </c>
      <c r="J6" t="n">
        <v>2</v>
      </c>
      <c r="K6" t="inlineStr">
        <is>
          <t>Media</t>
        </is>
      </c>
      <c r="L6" t="inlineStr">
        <is>
          <t>WF 1047 - ZO01-Zonas 24H-ATM-AP:Disarm</t>
        </is>
      </c>
      <c r="M6" t="inlineStr">
        <is>
          <t>activación perimetral</t>
        </is>
      </c>
      <c r="N6" t="inlineStr">
        <is>
          <t>activación perimetral atm</t>
        </is>
      </c>
      <c r="O6" t="inlineStr">
        <is>
          <t>4130 C PUERTO BERRIO - 1163 - AdminSUC - DIEBOLD</t>
        </is>
      </c>
      <c r="P6" t="inlineStr">
        <is>
          <t>Honeywell7810PC-1163-88-6</t>
        </is>
      </c>
      <c r="Q6" t="inlineStr">
        <is>
          <t xml:space="preserve">MAGNETICO COFRE CAJERO </t>
        </is>
      </c>
      <c r="R6" t="inlineStr">
        <is>
          <t>Honeywell</t>
        </is>
      </c>
      <c r="S6" t="n">
        <v>0</v>
      </c>
      <c r="T6" t="inlineStr">
        <is>
          <t>CARLOS  CORONADO</t>
        </is>
      </c>
      <c r="U6" t="inlineStr">
        <is>
          <t>Mal manejo</t>
        </is>
      </c>
      <c r="V6" t="inlineStr">
        <is>
          <t>BELLTECH</t>
        </is>
      </c>
      <c r="W6" t="inlineStr">
        <is>
          <t>DIEBOLD</t>
        </is>
      </c>
      <c r="X6">
        <f>EXACT(TRIM(UPPER(V6)), TRIM(UPPER(W6)))</f>
        <v/>
      </c>
      <c r="Y6" t="inlineStr"/>
      <c r="Z6" t="n">
        <v>2</v>
      </c>
      <c r="AA6" t="inlineStr">
        <is>
          <t>Oportuno</t>
        </is>
      </c>
      <c r="AB6" s="1" t="n">
        <v>46218.7225</v>
      </c>
      <c r="AC6" t="n">
        <v>15</v>
      </c>
      <c r="AD6" s="1" t="n">
        <v>46218.72252314815</v>
      </c>
      <c r="AE6" s="1" t="n">
        <v>46218.76842592593</v>
      </c>
      <c r="AF6" t="n">
        <v>3968</v>
      </c>
      <c r="AG6" t="inlineStr"/>
    </row>
    <row r="7">
      <c r="A7" t="inlineStr">
        <is>
          <t>EA0B36D9-1D62-42D3-8FEE-9CBB2DF8EF7A</t>
        </is>
      </c>
      <c r="B7" t="inlineStr">
        <is>
          <t>DF1798C3-B288-41A8-8F7D-952D3EA290F0</t>
        </is>
      </c>
      <c r="C7" t="n">
        <v>7628</v>
      </c>
      <c r="D7" t="n">
        <v>6681</v>
      </c>
      <c r="E7" t="inlineStr">
        <is>
          <t>ATM</t>
        </is>
      </c>
      <c r="F7" t="inlineStr">
        <is>
          <t>SUR</t>
        </is>
      </c>
      <c r="G7" t="inlineStr">
        <is>
          <t>CALDAS</t>
        </is>
      </c>
      <c r="H7" t="inlineStr">
        <is>
          <t>MANIZALES</t>
        </is>
      </c>
      <c r="I7" t="n">
        <v>1</v>
      </c>
      <c r="J7" t="n">
        <v>2</v>
      </c>
      <c r="K7" t="inlineStr">
        <is>
          <t>Media</t>
        </is>
      </c>
      <c r="L7" t="inlineStr">
        <is>
          <t>WF 1047 - ZO01-Zonas 24H-ATM-AP:Disarm</t>
        </is>
      </c>
      <c r="M7" t="inlineStr">
        <is>
          <t>activación perimetral</t>
        </is>
      </c>
      <c r="N7" t="inlineStr">
        <is>
          <t>activación perimetral atm</t>
        </is>
      </c>
      <c r="O7" t="inlineStr">
        <is>
          <t xml:space="preserve">6681 C MF CC SANCANCIO - 7628 - BK - DIEBOLD </t>
        </is>
      </c>
      <c r="P7" t="inlineStr">
        <is>
          <t>SGIII-7628-1-1</t>
        </is>
      </c>
      <c r="Q7" t="inlineStr">
        <is>
          <t>MICROSUICHE CONTRATAPA TECLADO CAJERO</t>
        </is>
      </c>
      <c r="R7" t="inlineStr">
        <is>
          <t>SGIII</t>
        </is>
      </c>
      <c r="S7" t="n">
        <v>0</v>
      </c>
      <c r="T7" t="inlineStr">
        <is>
          <t>EDWER DANIEL MUÑOZ</t>
        </is>
      </c>
      <c r="U7" t="inlineStr">
        <is>
          <t>Mal manejo</t>
        </is>
      </c>
      <c r="V7" t="inlineStr">
        <is>
          <t>TRANSBANK</t>
        </is>
      </c>
      <c r="W7" t="inlineStr">
        <is>
          <t>BRINKS</t>
        </is>
      </c>
      <c r="X7">
        <f>EXACT(TRIM(UPPER(V7)), TRIM(UPPER(W7)))</f>
        <v/>
      </c>
      <c r="Y7" t="inlineStr"/>
      <c r="Z7" t="n">
        <v>5</v>
      </c>
      <c r="AA7" t="inlineStr">
        <is>
          <t>Oportuno</t>
        </is>
      </c>
      <c r="AB7" s="1" t="n">
        <v>46219.27504629629</v>
      </c>
      <c r="AC7" t="n">
        <v>16</v>
      </c>
      <c r="AD7" s="1" t="n">
        <v>46219.27510416666</v>
      </c>
      <c r="AE7" s="1" t="n">
        <v>46219.42658564815</v>
      </c>
      <c r="AF7" t="n">
        <v>13093</v>
      </c>
      <c r="AG7" t="inlineStr">
        <is>
          <t>[2026-07-16 06:36:14] EDWER DANIEL MUÑOZ: [SOP:1] Validando Video ✅ [SOP:2] Enviando Reacción ✅ [SOP:3] Documentando ✅ || [2026-07-16 06:40:50] EDWER DANIEL MUÑOZ: TDV Se verifica por video cámara relacionada en tiempo real, activación de la zona,   SIN DESARME DE LA PARTICIÓN,    MAL MANEJO en sitio TDV BK</t>
        </is>
      </c>
    </row>
    <row r="8">
      <c r="A8" t="inlineStr">
        <is>
          <t>CAC41B0C-B046-4898-B84F-E49010355021</t>
        </is>
      </c>
      <c r="B8" t="inlineStr">
        <is>
          <t>776E46BD-A52B-47C1-ABEE-2181EF718F32</t>
        </is>
      </c>
      <c r="C8" t="n">
        <v>9912</v>
      </c>
      <c r="D8" t="n">
        <v>8043</v>
      </c>
      <c r="E8" t="inlineStr">
        <is>
          <t>ATM</t>
        </is>
      </c>
      <c r="F8" t="inlineStr">
        <is>
          <t>CARIBE</t>
        </is>
      </c>
      <c r="G8" t="inlineStr">
        <is>
          <t>CESAR</t>
        </is>
      </c>
      <c r="H8" t="inlineStr">
        <is>
          <t>VALLEDUPAR</t>
        </is>
      </c>
      <c r="I8" t="n">
        <v>1</v>
      </c>
      <c r="J8" t="n">
        <v>2</v>
      </c>
      <c r="K8" t="inlineStr">
        <is>
          <t>Media</t>
        </is>
      </c>
      <c r="L8" t="inlineStr">
        <is>
          <t>WF 1047 - ZO01-Zonas 24H-ATM-AP:Disarm</t>
        </is>
      </c>
      <c r="M8" t="inlineStr">
        <is>
          <t>activación perimetral</t>
        </is>
      </c>
      <c r="N8" t="inlineStr">
        <is>
          <t>activación perimetral atm</t>
        </is>
      </c>
      <c r="O8" t="inlineStr">
        <is>
          <t>8043 C OLIMPICA VALLEDUPAR - 9912 - BK - NCR</t>
        </is>
      </c>
      <c r="P8" t="inlineStr">
        <is>
          <t>SGIII-9912-7-2</t>
        </is>
      </c>
      <c r="Q8" t="inlineStr">
        <is>
          <t>MAGNETICO CONTRATAPA INFERIOR CAJERO</t>
        </is>
      </c>
      <c r="R8" t="inlineStr">
        <is>
          <t>SGIII</t>
        </is>
      </c>
      <c r="S8" t="n">
        <v>0</v>
      </c>
      <c r="T8" t="inlineStr">
        <is>
          <t>EDWER DANIEL MUÑOZ</t>
        </is>
      </c>
      <c r="U8" t="inlineStr">
        <is>
          <t>Mal manejo</t>
        </is>
      </c>
      <c r="V8" t="inlineStr">
        <is>
          <t>TRANSBANK</t>
        </is>
      </c>
      <c r="W8" t="inlineStr">
        <is>
          <t>BRINKS</t>
        </is>
      </c>
      <c r="X8">
        <f>EXACT(TRIM(UPPER(V8)), TRIM(UPPER(W8)))</f>
        <v/>
      </c>
      <c r="Y8" t="inlineStr"/>
      <c r="Z8" t="n">
        <v>9</v>
      </c>
      <c r="AA8" t="inlineStr">
        <is>
          <t>Oportuno</t>
        </is>
      </c>
      <c r="AB8" s="1" t="n">
        <v>46219.28552083333</v>
      </c>
      <c r="AC8" t="n">
        <v>16</v>
      </c>
      <c r="AD8" s="1" t="n">
        <v>46219.285625</v>
      </c>
      <c r="AE8" s="1" t="n">
        <v>46219.42289351852</v>
      </c>
      <c r="AF8" t="n">
        <v>11869</v>
      </c>
      <c r="AG8" t="inlineStr">
        <is>
          <t>[2026-07-16 06:51:35] EDWER DANIEL MUÑOZ: [SOP:1] Validando Video ✅ [SOP:2] Enviando Reacción ✅ [SOP:3] Documentando ✅ || [2026-07-16 06:52:14] EDWER DANIEL MUÑOZ: TDV Se verifica por video cámara relacionada en tiempo real, activación de la zona,   SIN DESARME DE LA PARTICIÓN,   MAL MANEJO en sitio TDV TBS</t>
        </is>
      </c>
    </row>
    <row r="9">
      <c r="A9" t="inlineStr">
        <is>
          <t>D842BEF1-A4C5-4E85-BBFE-6019AF30DA21</t>
        </is>
      </c>
      <c r="B9" t="inlineStr">
        <is>
          <t>2FDA5DB8-7272-41FE-86C6-3CA0004A59C4</t>
        </is>
      </c>
      <c r="C9" t="n">
        <v>4741</v>
      </c>
      <c r="D9" t="n">
        <v>26</v>
      </c>
      <c r="E9" t="inlineStr">
        <is>
          <t>ATM</t>
        </is>
      </c>
      <c r="F9" t="inlineStr">
        <is>
          <t>ANTIOQUIA</t>
        </is>
      </c>
      <c r="G9" t="inlineStr">
        <is>
          <t>ANTIOQUIA</t>
        </is>
      </c>
      <c r="H9" t="inlineStr">
        <is>
          <t>LA ESTRELLA</t>
        </is>
      </c>
      <c r="I9" t="n">
        <v>1</v>
      </c>
      <c r="J9" t="n">
        <v>2</v>
      </c>
      <c r="K9" t="inlineStr">
        <is>
          <t>Media</t>
        </is>
      </c>
      <c r="L9" t="inlineStr">
        <is>
          <t>WF 1047 - ZO01-Zonas 24H-ATM-AP:Disarm</t>
        </is>
      </c>
      <c r="M9" t="inlineStr">
        <is>
          <t>activación perimetral</t>
        </is>
      </c>
      <c r="N9" t="inlineStr">
        <is>
          <t>activación perimetral atm</t>
        </is>
      </c>
      <c r="O9" t="inlineStr">
        <is>
          <t>0026 C ESTACION METRO ESTRELLA - 4741</t>
        </is>
      </c>
      <c r="P9" t="inlineStr">
        <is>
          <t>SGIII-4741-3-2</t>
        </is>
      </c>
      <c r="Q9" t="inlineStr">
        <is>
          <t>MAGNETICO CONTRATAPA INFERIOR CAJERO</t>
        </is>
      </c>
      <c r="R9" t="inlineStr">
        <is>
          <t>SGIII</t>
        </is>
      </c>
      <c r="S9" t="n">
        <v>0</v>
      </c>
      <c r="T9" t="inlineStr">
        <is>
          <t>JHON DAIRO ESCOBAR GARCIA</t>
        </is>
      </c>
      <c r="U9" t="inlineStr">
        <is>
          <t>Mal manejo</t>
        </is>
      </c>
      <c r="V9" t="inlineStr">
        <is>
          <t>TRANSBANK</t>
        </is>
      </c>
      <c r="W9" t="inlineStr"/>
      <c r="X9">
        <f>EXACT(TRIM(UPPER(V9)), TRIM(UPPER(W9)))</f>
        <v/>
      </c>
      <c r="Y9" t="inlineStr"/>
      <c r="Z9" t="n">
        <v>22</v>
      </c>
      <c r="AA9" t="inlineStr">
        <is>
          <t>Oportuno</t>
        </is>
      </c>
      <c r="AB9" s="1" t="n">
        <v>46219.38157407408</v>
      </c>
      <c r="AC9" t="n">
        <v>16</v>
      </c>
      <c r="AD9" s="1" t="n">
        <v>46219.38182870371</v>
      </c>
      <c r="AE9" s="1" t="n">
        <v>46219.45318287037</v>
      </c>
      <c r="AF9" t="n">
        <v>6187</v>
      </c>
      <c r="AG9" t="inlineStr">
        <is>
          <t>[2026-07-16 09:10:09] JHON DAIRO ESCOBAR GARCIA: [SOP:1] Validando Video ✅ [SOP:2] Enviando Reacción ✅ [SOP:3] Documentando ✅ || [2026-07-16 09:11:03] JHON DAIRO ESCOBAR GARCIA: Se realiza la respectiva validación por video todo esta aparentemente sin novedad --- a la hora se observa TDV Transbank en el punto al momento de la activación || [2026-07-16 09:11:10] JHON DAIRO ESCOBAR GARCIA: Se genera cobro de malos manejo por desarme no oportuno</t>
        </is>
      </c>
    </row>
    <row r="10">
      <c r="A10" t="inlineStr">
        <is>
          <t>D842BEF1-A4C5-4E85-BBFE-6019AF30DA21</t>
        </is>
      </c>
      <c r="B10" t="inlineStr">
        <is>
          <t>ACDBE6E1-D21C-435C-8719-C84C63905C26</t>
        </is>
      </c>
      <c r="C10" t="n">
        <v>4741</v>
      </c>
      <c r="D10" t="n">
        <v>26</v>
      </c>
      <c r="E10" t="inlineStr">
        <is>
          <t>ATM</t>
        </is>
      </c>
      <c r="F10" t="inlineStr">
        <is>
          <t>ANTIOQUIA</t>
        </is>
      </c>
      <c r="G10" t="inlineStr">
        <is>
          <t>ANTIOQUIA</t>
        </is>
      </c>
      <c r="H10" t="inlineStr">
        <is>
          <t>LA ESTRELLA</t>
        </is>
      </c>
      <c r="I10" t="n">
        <v>0</v>
      </c>
      <c r="J10" t="n">
        <v>2</v>
      </c>
      <c r="K10" t="inlineStr">
        <is>
          <t>Media</t>
        </is>
      </c>
      <c r="L10" t="inlineStr">
        <is>
          <t>WF 1047 - ZO01-Zonas 24H-ATM-AP:Disarm</t>
        </is>
      </c>
      <c r="M10" t="inlineStr">
        <is>
          <t>activación perimetral</t>
        </is>
      </c>
      <c r="N10" t="inlineStr">
        <is>
          <t>activación perimetral atm</t>
        </is>
      </c>
      <c r="O10" t="inlineStr">
        <is>
          <t>0026 C ESTACION METRO ESTRELLA - 4741</t>
        </is>
      </c>
      <c r="P10" t="inlineStr">
        <is>
          <t>SGIII-4741-4-2</t>
        </is>
      </c>
      <c r="Q10" t="inlineStr">
        <is>
          <t>MAGNETICO FASCIA SUPERIOR CAJERO</t>
        </is>
      </c>
      <c r="R10" t="inlineStr">
        <is>
          <t>SGIII</t>
        </is>
      </c>
      <c r="S10" t="n">
        <v>0</v>
      </c>
      <c r="T10" t="inlineStr">
        <is>
          <t>JHON DAIRO ESCOBAR GARCIA</t>
        </is>
      </c>
      <c r="U10" t="inlineStr">
        <is>
          <t>Mal manejo</t>
        </is>
      </c>
      <c r="V10" t="inlineStr">
        <is>
          <t>TRANSBANK</t>
        </is>
      </c>
      <c r="W10" t="inlineStr"/>
      <c r="X10">
        <f>EXACT(TRIM(UPPER(V10)), TRIM(UPPER(W10)))</f>
        <v/>
      </c>
      <c r="Y10" t="inlineStr"/>
      <c r="Z10" t="n">
        <v>5</v>
      </c>
      <c r="AA10" t="inlineStr">
        <is>
          <t>Oportuno</t>
        </is>
      </c>
      <c r="AB10" s="1" t="n">
        <v>46219.38216435185</v>
      </c>
      <c r="AC10" t="n">
        <v>16</v>
      </c>
      <c r="AD10" s="1" t="n">
        <v>46219.38222222222</v>
      </c>
      <c r="AE10" s="1" t="n">
        <v>46219.45318287037</v>
      </c>
      <c r="AF10" t="n">
        <v>6136</v>
      </c>
      <c r="AG10" t="inlineStr"/>
    </row>
    <row r="11">
      <c r="A11" t="inlineStr">
        <is>
          <t>5642F945-0162-457B-AD2F-DE0512D9BC2E</t>
        </is>
      </c>
      <c r="B11" t="inlineStr">
        <is>
          <t>A3AE4CF0-1450-4840-92E3-3D2B383AE3CF</t>
        </is>
      </c>
      <c r="C11" t="n">
        <v>8047</v>
      </c>
      <c r="D11" t="n">
        <v>9158</v>
      </c>
      <c r="E11" t="inlineStr">
        <is>
          <t>ATM</t>
        </is>
      </c>
      <c r="F11" t="inlineStr">
        <is>
          <t>ANTIOQUIA</t>
        </is>
      </c>
      <c r="G11" t="inlineStr">
        <is>
          <t>ANTIOQUIA</t>
        </is>
      </c>
      <c r="H11" t="inlineStr">
        <is>
          <t>SABANETA</t>
        </is>
      </c>
      <c r="I11" t="n">
        <v>0</v>
      </c>
      <c r="J11" t="n">
        <v>2</v>
      </c>
      <c r="K11" t="inlineStr">
        <is>
          <t>Media</t>
        </is>
      </c>
      <c r="L11" t="inlineStr">
        <is>
          <t>WF 1047 - ZO01-Zonas 24H-ATM-AP:Disarm</t>
        </is>
      </c>
      <c r="M11" t="inlineStr">
        <is>
          <t>activación perimetral</t>
        </is>
      </c>
      <c r="N11" t="inlineStr">
        <is>
          <t>activación perimetral atm</t>
        </is>
      </c>
      <c r="O11" t="inlineStr">
        <is>
          <t>9158 C CC MAYORCA - TBS - DIEBOLD</t>
        </is>
      </c>
      <c r="P11" t="inlineStr">
        <is>
          <t>SGIII-8047-5-1</t>
        </is>
      </c>
      <c r="Q11" t="inlineStr">
        <is>
          <t>INFRARROJO CUARTO CAJERO</t>
        </is>
      </c>
      <c r="R11" t="inlineStr">
        <is>
          <t>SGIII</t>
        </is>
      </c>
      <c r="S11" t="n">
        <v>0</v>
      </c>
      <c r="T11" t="inlineStr">
        <is>
          <t>JHON DAIRO ESCOBAR GARCIA</t>
        </is>
      </c>
      <c r="U11" t="inlineStr">
        <is>
          <t>Mal manejo</t>
        </is>
      </c>
      <c r="V11" t="inlineStr">
        <is>
          <t>NCR</t>
        </is>
      </c>
      <c r="W11" t="inlineStr">
        <is>
          <t>DIEBOLD</t>
        </is>
      </c>
      <c r="X11">
        <f>EXACT(TRIM(UPPER(V11)), TRIM(UPPER(W11)))</f>
        <v/>
      </c>
      <c r="Y11" t="inlineStr"/>
      <c r="Z11" t="n">
        <v>10</v>
      </c>
      <c r="AA11" t="inlineStr">
        <is>
          <t>Oportuno</t>
        </is>
      </c>
      <c r="AB11" s="1" t="n">
        <v>46219.45554398148</v>
      </c>
      <c r="AC11" t="n">
        <v>16</v>
      </c>
      <c r="AD11" s="1" t="n">
        <v>46219.45565972223</v>
      </c>
      <c r="AE11" s="1" t="n">
        <v>46219.46880787037</v>
      </c>
      <c r="AF11" t="n">
        <v>1146</v>
      </c>
      <c r="AG11" t="inlineStr"/>
    </row>
    <row r="12">
      <c r="A12" t="inlineStr">
        <is>
          <t>57E06636-F2C5-4489-8DE9-974DB3A1D21B</t>
        </is>
      </c>
      <c r="B12" t="inlineStr">
        <is>
          <t>D23D5D65-EC16-490B-9218-04D497C37B26</t>
        </is>
      </c>
      <c r="C12" t="n">
        <v>1372</v>
      </c>
      <c r="D12" t="n">
        <v>372</v>
      </c>
      <c r="E12" t="inlineStr">
        <is>
          <t>Sucursal</t>
        </is>
      </c>
      <c r="F12" t="inlineStr">
        <is>
          <t>BOG Y SABANA</t>
        </is>
      </c>
      <c r="G12" t="inlineStr">
        <is>
          <t>CUNDINAMARCA</t>
        </is>
      </c>
      <c r="H12" t="inlineStr">
        <is>
          <t>FACATATIVÁ</t>
        </is>
      </c>
      <c r="I12" t="n">
        <v>0</v>
      </c>
      <c r="J12" t="n">
        <v>2</v>
      </c>
      <c r="K12" t="inlineStr">
        <is>
          <t>Media</t>
        </is>
      </c>
      <c r="L12" t="inlineStr">
        <is>
          <t>WF 1048 - ZO01-Zonas 24H-SUC-AP:Disarm</t>
        </is>
      </c>
      <c r="M12" t="inlineStr">
        <is>
          <t>activación perimetral</t>
        </is>
      </c>
      <c r="N12" t="inlineStr">
        <is>
          <t>activación perimetral suc</t>
        </is>
      </c>
      <c r="O12" t="inlineStr">
        <is>
          <t>0372 S FACATATIVA - 1372</t>
        </is>
      </c>
      <c r="P12" t="inlineStr">
        <is>
          <t>Honeywell7810PC-1372-22-8</t>
        </is>
      </c>
      <c r="Q12" t="inlineStr">
        <is>
          <t>MAGNETICO PARQUEDERO</t>
        </is>
      </c>
      <c r="R12" t="inlineStr">
        <is>
          <t>Honeywell</t>
        </is>
      </c>
      <c r="S12" t="n">
        <v>0</v>
      </c>
      <c r="T12" t="inlineStr">
        <is>
          <t>Adier Cuitiva Mayo</t>
        </is>
      </c>
      <c r="U12" t="inlineStr">
        <is>
          <t>Mal manejo</t>
        </is>
      </c>
      <c r="V12" t="inlineStr">
        <is>
          <t>TRANSBANK</t>
        </is>
      </c>
      <c r="W12" t="inlineStr">
        <is>
          <t>FUNCIONARIOS</t>
        </is>
      </c>
      <c r="X12">
        <f>EXACT(TRIM(UPPER(V12)), TRIM(UPPER(W12)))</f>
        <v/>
      </c>
      <c r="Y12" t="inlineStr"/>
      <c r="Z12" t="n">
        <v>4</v>
      </c>
      <c r="AA12" t="inlineStr">
        <is>
          <t>Oportuno</t>
        </is>
      </c>
      <c r="AB12" s="1" t="n">
        <v>46220.34607638889</v>
      </c>
      <c r="AC12" t="n">
        <v>17</v>
      </c>
      <c r="AD12" s="1" t="n">
        <v>46220.34612268519</v>
      </c>
      <c r="AE12" s="1" t="n">
        <v>46220.54497685185</v>
      </c>
      <c r="AF12" t="n">
        <v>17185</v>
      </c>
      <c r="AG12" t="inlineStr"/>
    </row>
    <row r="13">
      <c r="A13" t="inlineStr">
        <is>
          <t>B1AD129A-5992-4BDC-ACDA-1269FC746581</t>
        </is>
      </c>
      <c r="B13" t="inlineStr">
        <is>
          <t>124E4764-E9E7-4D24-8E5A-A49F492D0537</t>
        </is>
      </c>
      <c r="C13" t="n">
        <v>7330</v>
      </c>
      <c r="D13" t="n">
        <v>7890</v>
      </c>
      <c r="E13" t="inlineStr">
        <is>
          <t>ATM</t>
        </is>
      </c>
      <c r="F13" t="inlineStr">
        <is>
          <t>ANTIOQUIA</t>
        </is>
      </c>
      <c r="G13" t="inlineStr">
        <is>
          <t>ANTIOQUIA</t>
        </is>
      </c>
      <c r="H13" t="inlineStr">
        <is>
          <t>MEDELLÍN</t>
        </is>
      </c>
      <c r="I13" t="n">
        <v>1</v>
      </c>
      <c r="J13" t="n">
        <v>2</v>
      </c>
      <c r="K13" t="inlineStr">
        <is>
          <t>Media</t>
        </is>
      </c>
      <c r="L13" t="inlineStr">
        <is>
          <t>WF 1055 - ZO09-Zonas 24H-Tamper y Antimascara AP:A</t>
        </is>
      </c>
      <c r="M13" t="inlineStr">
        <is>
          <t>activación tamper y antimascara</t>
        </is>
      </c>
      <c r="N13" t="inlineStr">
        <is>
          <t>activación tamper y antimascara</t>
        </is>
      </c>
      <c r="O13" t="inlineStr">
        <is>
          <t>7890 7891 7892 C GALERIAS EXITO - 7330 - ATL - DIEBOLD</t>
        </is>
      </c>
      <c r="P13" t="inlineStr">
        <is>
          <t>Honeywell7810PC-7330-8-1</t>
        </is>
      </c>
      <c r="Q13" t="inlineStr">
        <is>
          <t xml:space="preserve">TAMPER CENTRAL DE ALARMA </t>
        </is>
      </c>
      <c r="R13" t="inlineStr">
        <is>
          <t>Honeywell</t>
        </is>
      </c>
      <c r="S13" t="n">
        <v>1</v>
      </c>
      <c r="T13" t="inlineStr">
        <is>
          <t>JHON DAIRO ESCOBAR GARCIA</t>
        </is>
      </c>
      <c r="U13" t="inlineStr">
        <is>
          <t>Mal manejo</t>
        </is>
      </c>
      <c r="V13" t="inlineStr">
        <is>
          <t>NCR</t>
        </is>
      </c>
      <c r="W13" t="inlineStr">
        <is>
          <t>DIEBOLD</t>
        </is>
      </c>
      <c r="X13">
        <f>EXACT(TRIM(UPPER(V13)), TRIM(UPPER(W13)))</f>
        <v/>
      </c>
      <c r="Y13" t="inlineStr"/>
      <c r="Z13" t="n">
        <v>5</v>
      </c>
      <c r="AA13" t="inlineStr">
        <is>
          <t>Oportuno</t>
        </is>
      </c>
      <c r="AB13" s="1" t="n">
        <v>46220.36693287037</v>
      </c>
      <c r="AC13" t="n">
        <v>17</v>
      </c>
      <c r="AD13" s="1" t="n">
        <v>46220.36699074074</v>
      </c>
      <c r="AE13" s="1" t="n">
        <v>46220.47550925926</v>
      </c>
      <c r="AF13" t="n">
        <v>9381</v>
      </c>
      <c r="AG13" t="inlineStr">
        <is>
          <t>[2026-07-17 08:49:27] JHON DAIRO ESCOBAR GARCIA: [SOP:1] Validando Video ✅ [SOP:2] Enviando Reacción ✅ [SOP:3] Documentando ✅ || [2026-07-17 08:49:59] JHON DAIRO ESCOBAR GARCIA: Se realiza la respectiva validación por video todo esta aparentemente sin novedad --- a la hora se observa TECNICO NCR en el punto al momento de la activación || [2026-07-17 08:50:03] JHON DAIRO ESCOBAR GARCIA: Se genera cobro de malos manejos no realiza el bypass de la zona</t>
        </is>
      </c>
    </row>
    <row r="14">
      <c r="A14" t="inlineStr">
        <is>
          <t>AEADB4AF-FF32-4C35-8D14-EE4445F0EA9B</t>
        </is>
      </c>
      <c r="B14" t="inlineStr">
        <is>
          <t>1928BA30-A119-4A7C-8D85-27FDD461AC7E</t>
        </is>
      </c>
      <c r="C14" t="n">
        <v>7854</v>
      </c>
      <c r="D14" t="n">
        <v>5723</v>
      </c>
      <c r="E14" t="inlineStr">
        <is>
          <t>ATM</t>
        </is>
      </c>
      <c r="F14" t="inlineStr">
        <is>
          <t>BOG Y SABANA</t>
        </is>
      </c>
      <c r="G14" t="inlineStr">
        <is>
          <t>CUNDINAMARCA</t>
        </is>
      </c>
      <c r="H14" t="inlineStr">
        <is>
          <t>BOGOTÁ, D.C.</t>
        </is>
      </c>
      <c r="I14" t="n">
        <v>1</v>
      </c>
      <c r="J14" t="n">
        <v>2</v>
      </c>
      <c r="K14" t="inlineStr">
        <is>
          <t>Media</t>
        </is>
      </c>
      <c r="L14" t="inlineStr">
        <is>
          <t>WF 1047 - ZO01-Zonas 24H-ATM-AP:Disarm</t>
        </is>
      </c>
      <c r="M14" t="inlineStr">
        <is>
          <t>activación perimetral</t>
        </is>
      </c>
      <c r="N14" t="inlineStr">
        <is>
          <t>activación perimetral atm</t>
        </is>
      </c>
      <c r="O14" t="inlineStr">
        <is>
          <t xml:space="preserve">5723 5724 6633 C AUTOSERVICIO CONNECTA 26 - BK - DIEBOLD </t>
        </is>
      </c>
      <c r="P14" t="inlineStr">
        <is>
          <t>SGIII-7854-3-1</t>
        </is>
      </c>
      <c r="Q14" t="inlineStr">
        <is>
          <t>MAGNETICO CUARTO CAJERO</t>
        </is>
      </c>
      <c r="R14" t="inlineStr">
        <is>
          <t>SGIII</t>
        </is>
      </c>
      <c r="S14" t="n">
        <v>2</v>
      </c>
      <c r="T14" t="inlineStr">
        <is>
          <t>JUAN RODOLFO VASQUEZ ALZATE</t>
        </is>
      </c>
      <c r="U14" t="inlineStr">
        <is>
          <t>Mal manejo</t>
        </is>
      </c>
      <c r="V14" t="inlineStr">
        <is>
          <t>BRINKS</t>
        </is>
      </c>
      <c r="W14" t="inlineStr">
        <is>
          <t>ATLAS</t>
        </is>
      </c>
      <c r="X14">
        <f>EXACT(TRIM(UPPER(V14)), TRIM(UPPER(W14)))</f>
        <v/>
      </c>
      <c r="Y14" t="inlineStr"/>
      <c r="Z14" t="n">
        <v>8</v>
      </c>
      <c r="AA14" t="inlineStr">
        <is>
          <t>Oportuno</t>
        </is>
      </c>
      <c r="AB14" s="1" t="n">
        <v>46221.29969907407</v>
      </c>
      <c r="AC14" t="n">
        <v>18</v>
      </c>
      <c r="AD14" s="1" t="n">
        <v>46221.29979166666</v>
      </c>
      <c r="AE14" s="1" t="n">
        <v>46221.30258101852</v>
      </c>
      <c r="AF14" t="n">
        <v>249</v>
      </c>
      <c r="AG14" t="inlineStr">
        <is>
          <t>[2026-07-18 07:15:17] JUAN RODOLFO VASQUEZ ALZATE: [SOP:1] Validando Video ✅ [SOP:2] Enviando Reacción ✅ [SOP:3] Documentando ✅ || [2026-07-18 07:15:26] JUAN RODOLFO VASQUEZ ALZATE: SE VALIDA POR VIDEO COMMAND SE OBSERVA TDV BRINKS EN EL SITIO       SE GENERAN MALOS MANEJOS POR NO BYPAS DE ZONA</t>
        </is>
      </c>
    </row>
    <row r="15">
      <c r="A15" t="inlineStr">
        <is>
          <t>AEADB4AF-FF32-4C35-8D14-EE4445F0EA9B</t>
        </is>
      </c>
      <c r="B15" t="inlineStr">
        <is>
          <t>EAE8249E-895B-4919-8587-A9886081C5C2</t>
        </is>
      </c>
      <c r="C15" t="n">
        <v>7854</v>
      </c>
      <c r="D15" t="n">
        <v>5723</v>
      </c>
      <c r="E15" t="inlineStr">
        <is>
          <t>ATM</t>
        </is>
      </c>
      <c r="F15" t="inlineStr">
        <is>
          <t>BOG Y SABANA</t>
        </is>
      </c>
      <c r="G15" t="inlineStr">
        <is>
          <t>CUNDINAMARCA</t>
        </is>
      </c>
      <c r="H15" t="inlineStr">
        <is>
          <t>BOGOTÁ, D.C.</t>
        </is>
      </c>
      <c r="I15" t="n">
        <v>0</v>
      </c>
      <c r="J15" t="n">
        <v>2</v>
      </c>
      <c r="K15" t="inlineStr">
        <is>
          <t>Media</t>
        </is>
      </c>
      <c r="L15" t="inlineStr">
        <is>
          <t>WF 1047 - ZO01-Zonas 24H-ATM-AP:Disarm</t>
        </is>
      </c>
      <c r="M15" t="inlineStr">
        <is>
          <t>activación perimetral</t>
        </is>
      </c>
      <c r="N15" t="inlineStr">
        <is>
          <t>activación perimetral atm</t>
        </is>
      </c>
      <c r="O15" t="inlineStr">
        <is>
          <t xml:space="preserve">5723 5724 6633 C AUTOSERVICIO CONNECTA 26 - BK - DIEBOLD </t>
        </is>
      </c>
      <c r="P15" t="inlineStr">
        <is>
          <t>SGIII-7854-2-1</t>
        </is>
      </c>
      <c r="Q15" t="inlineStr">
        <is>
          <t>MAGNETICO CUARTO CAJERO</t>
        </is>
      </c>
      <c r="R15" t="inlineStr">
        <is>
          <t>SGIII</t>
        </is>
      </c>
      <c r="S15" t="n">
        <v>0</v>
      </c>
      <c r="T15" t="inlineStr">
        <is>
          <t>JUAN RODOLFO VASQUEZ ALZATE</t>
        </is>
      </c>
      <c r="U15" t="inlineStr">
        <is>
          <t>Mal manejo</t>
        </is>
      </c>
      <c r="V15" t="inlineStr">
        <is>
          <t>BRINKS</t>
        </is>
      </c>
      <c r="W15" t="inlineStr">
        <is>
          <t>ATLAS</t>
        </is>
      </c>
      <c r="X15">
        <f>EXACT(TRIM(UPPER(V15)), TRIM(UPPER(W15)))</f>
        <v/>
      </c>
      <c r="Y15" t="inlineStr"/>
      <c r="Z15" t="n">
        <v>7</v>
      </c>
      <c r="AA15" t="inlineStr">
        <is>
          <t>Oportuno</t>
        </is>
      </c>
      <c r="AB15" s="1" t="n">
        <v>46221.30017361111</v>
      </c>
      <c r="AC15" t="n">
        <v>18</v>
      </c>
      <c r="AD15" s="1" t="n">
        <v>46221.30025462963</v>
      </c>
      <c r="AE15" s="1" t="n">
        <v>46221.30269675926</v>
      </c>
      <c r="AF15" t="n">
        <v>218</v>
      </c>
      <c r="AG15" t="inlineStr">
        <is>
          <t>[2026-07-18 07:13:59] JUAN RODOLFO VASQUEZ ALZATE: [SOP:1] Validando Video ✅ [SOP:2] Enviando Reacción ✅ [SOP:3] Documentando ✅ || [2026-07-18 07:14:05] JUAN RODOLFO VASQUEZ ALZATE: SE VALIDA POR VIDEO COMMAND SE OBSERVA TDV BRINKS EN EL SITIO       SE GENERAN MALOS MANEJOS POR NO DESARME DE PARTICION</t>
        </is>
      </c>
    </row>
    <row r="16">
      <c r="A16" t="inlineStr">
        <is>
          <t>6CB2A15A-8923-46A3-B5EA-D83592B7CE9B</t>
        </is>
      </c>
      <c r="B16" t="inlineStr">
        <is>
          <t>3793A509-9FDB-40E4-A536-01EA1F631E49</t>
        </is>
      </c>
      <c r="C16" t="n">
        <v>7573</v>
      </c>
      <c r="D16" t="n">
        <v>6937</v>
      </c>
      <c r="E16" t="inlineStr">
        <is>
          <t>ATM</t>
        </is>
      </c>
      <c r="F16" t="inlineStr">
        <is>
          <t>CARIBE</t>
        </is>
      </c>
      <c r="G16" t="inlineStr">
        <is>
          <t>ATLANTICO</t>
        </is>
      </c>
      <c r="H16" t="inlineStr">
        <is>
          <t>BARRANQUILLA</t>
        </is>
      </c>
      <c r="I16" t="n">
        <v>1</v>
      </c>
      <c r="J16" t="n">
        <v>2</v>
      </c>
      <c r="K16" t="inlineStr">
        <is>
          <t>Media</t>
        </is>
      </c>
      <c r="L16" t="inlineStr">
        <is>
          <t>WF 1047 - ZO01-Zonas 24H-ATM-AP:Disarm</t>
        </is>
      </c>
      <c r="M16" t="inlineStr">
        <is>
          <t>activación perimetral</t>
        </is>
      </c>
      <c r="N16" t="inlineStr">
        <is>
          <t>activación perimetral atm</t>
        </is>
      </c>
      <c r="O16" t="inlineStr">
        <is>
          <t>6937 C AUTOSERVICIOS CALLE 84 - 7573 - ATL - DIEBOLD</t>
        </is>
      </c>
      <c r="P16" t="inlineStr">
        <is>
          <t>SGIII-7573-38-4</t>
        </is>
      </c>
      <c r="Q16" t="inlineStr">
        <is>
          <t xml:space="preserve">MAGNETICO TIPO PESADO CAJERO </t>
        </is>
      </c>
      <c r="R16" t="inlineStr">
        <is>
          <t>SGIII</t>
        </is>
      </c>
      <c r="S16" t="n">
        <v>2</v>
      </c>
      <c r="T16" t="inlineStr">
        <is>
          <t>EDWER DANIEL MUÑOZ</t>
        </is>
      </c>
      <c r="U16" t="inlineStr">
        <is>
          <t>Mal manejo</t>
        </is>
      </c>
      <c r="V16" t="inlineStr">
        <is>
          <t>DIEBOLD</t>
        </is>
      </c>
      <c r="W16" t="inlineStr">
        <is>
          <t>NCR</t>
        </is>
      </c>
      <c r="X16">
        <f>EXACT(TRIM(UPPER(V16)), TRIM(UPPER(W16)))</f>
        <v/>
      </c>
      <c r="Y16" t="inlineStr"/>
      <c r="Z16" t="n">
        <v>4</v>
      </c>
      <c r="AA16" t="inlineStr">
        <is>
          <t>Oportuno</t>
        </is>
      </c>
      <c r="AB16" s="1" t="n">
        <v>46221.42355324074</v>
      </c>
      <c r="AC16" t="n">
        <v>18</v>
      </c>
      <c r="AD16" s="1" t="n">
        <v>46221.42359953704</v>
      </c>
      <c r="AE16" s="1" t="n">
        <v>46221.42674768518</v>
      </c>
      <c r="AF16" t="n">
        <v>276</v>
      </c>
      <c r="AG16" t="inlineStr">
        <is>
          <t>[2026-07-18 10:10:08] EDWER DANIEL MUÑOZ: [SOP:1] Validando Video ✅ [SOP:2] Enviando Reacción ✅ [SOP:3] Documentando ✅ || [2026-07-18 10:10:23] EDWER DANIEL MUÑOZ: TEC Se verifica por video cámara relacionada en tiempo real, activación de la zona,   SIN BYPASS,   MAL MANEJO en sitio TÉCNICO || [2026-07-18 10:10:33] EDWER DANIEL MUÑOZ: DIEBOLD</t>
        </is>
      </c>
    </row>
    <row r="17">
      <c r="A17" t="inlineStr">
        <is>
          <t>B0221A32-820B-4BC4-B8FA-20CD30696A61</t>
        </is>
      </c>
      <c r="B17" t="inlineStr">
        <is>
          <t>51249B26-5CE8-445E-B31F-A30362D94DCD</t>
        </is>
      </c>
      <c r="C17" t="n">
        <v>7447</v>
      </c>
      <c r="D17" t="n">
        <v>7384</v>
      </c>
      <c r="E17" t="inlineStr">
        <is>
          <t>ATM</t>
        </is>
      </c>
      <c r="F17" t="inlineStr">
        <is>
          <t>BOG Y SABANA</t>
        </is>
      </c>
      <c r="G17" t="inlineStr">
        <is>
          <t>CUNDINAMARCA</t>
        </is>
      </c>
      <c r="H17" t="inlineStr">
        <is>
          <t>BOGOTÁ, D.C.</t>
        </is>
      </c>
      <c r="I17" t="n">
        <v>1</v>
      </c>
      <c r="J17" t="n">
        <v>2</v>
      </c>
      <c r="K17" t="inlineStr">
        <is>
          <t>Media</t>
        </is>
      </c>
      <c r="L17" t="inlineStr">
        <is>
          <t>WF 1047 - ZO01-Zonas 24H-ATM-AP:Disarm</t>
        </is>
      </c>
      <c r="M17" t="inlineStr">
        <is>
          <t>activación perimetral</t>
        </is>
      </c>
      <c r="N17" t="inlineStr">
        <is>
          <t>activación perimetral atm</t>
        </is>
      </c>
      <c r="O17" t="inlineStr">
        <is>
          <t>7384 C CARULLA SAN NICOLAS - 7447 - VT - DIEBOLD</t>
        </is>
      </c>
      <c r="P17" t="inlineStr">
        <is>
          <t>SGIII-7447-2-1</t>
        </is>
      </c>
      <c r="Q17" t="inlineStr">
        <is>
          <t>MICROSUICHE CONTRATAPA TECLADO CAJERO</t>
        </is>
      </c>
      <c r="R17" t="inlineStr">
        <is>
          <t>SGIII</t>
        </is>
      </c>
      <c r="S17" t="n">
        <v>0</v>
      </c>
      <c r="T17" t="inlineStr">
        <is>
          <t>EDWER DANIEL MUÑOZ</t>
        </is>
      </c>
      <c r="U17" t="inlineStr">
        <is>
          <t>Mal manejo</t>
        </is>
      </c>
      <c r="V17" t="inlineStr">
        <is>
          <t>NCR</t>
        </is>
      </c>
      <c r="W17" t="inlineStr">
        <is>
          <t>DIEBOLD</t>
        </is>
      </c>
      <c r="X17">
        <f>EXACT(TRIM(UPPER(V17)), TRIM(UPPER(W17)))</f>
        <v/>
      </c>
      <c r="Y17" t="inlineStr"/>
      <c r="Z17" t="n">
        <v>7</v>
      </c>
      <c r="AA17" t="inlineStr">
        <is>
          <t>Oportuno</t>
        </is>
      </c>
      <c r="AB17" s="1" t="n">
        <v>46221.52576388889</v>
      </c>
      <c r="AC17" t="n">
        <v>18</v>
      </c>
      <c r="AD17" s="1" t="n">
        <v>46221.52584490741</v>
      </c>
      <c r="AE17" s="1" t="n">
        <v>46221.5278125</v>
      </c>
      <c r="AF17" t="n">
        <v>177</v>
      </c>
      <c r="AG17" t="inlineStr">
        <is>
          <t>[2026-07-18 12:37:38] EDWER DANIEL MUÑOZ: [SOP:1] Validando Video ✅ [SOP:2] Enviando Reacción ✅ [SOP:3] Documentando ✅ || [2026-07-18 12:38:30] EDWER DANIEL MUÑOZ: TEC Se verifica por video cámara relacionada en tiempo real, activación de la zona,   SIN DESARME DE LA PARTICIÓN,     MAL MANEJO en sitio TÉCNICO NCR</t>
        </is>
      </c>
    </row>
    <row r="18">
      <c r="A18" t="inlineStr">
        <is>
          <t>5905A21D-61E0-4B9B-99A5-A65FC7AB1A11</t>
        </is>
      </c>
      <c r="B18" t="inlineStr">
        <is>
          <t>C30B1157-F3F8-47B4-9FC2-B5FCF23E8461</t>
        </is>
      </c>
      <c r="C18" t="n">
        <v>6973</v>
      </c>
      <c r="D18" t="n">
        <v>8820</v>
      </c>
      <c r="E18" t="inlineStr">
        <is>
          <t>ATM</t>
        </is>
      </c>
      <c r="F18" t="inlineStr">
        <is>
          <t>CENTRO</t>
        </is>
      </c>
      <c r="G18" t="inlineStr">
        <is>
          <t>BOYACÁ</t>
        </is>
      </c>
      <c r="H18" t="inlineStr">
        <is>
          <t>TUNJA</t>
        </is>
      </c>
      <c r="I18" t="n">
        <v>1</v>
      </c>
      <c r="J18" t="n">
        <v>2</v>
      </c>
      <c r="K18" t="inlineStr">
        <is>
          <t>Media</t>
        </is>
      </c>
      <c r="L18" t="inlineStr">
        <is>
          <t>WF 1047 - ZO01-Zonas 24H-ATM-AP:Disarm</t>
        </is>
      </c>
      <c r="M18" t="inlineStr">
        <is>
          <t>activación perimetral</t>
        </is>
      </c>
      <c r="N18" t="inlineStr">
        <is>
          <t>activación perimetral atm</t>
        </is>
      </c>
      <c r="O18" t="inlineStr">
        <is>
          <t>8820 C TERMINAL DE TRANSPORTE TUNJA - 6973 - TBS - NCR</t>
        </is>
      </c>
      <c r="P18" t="inlineStr">
        <is>
          <t>SGIII-6973-2-1</t>
        </is>
      </c>
      <c r="Q18" t="inlineStr">
        <is>
          <t>MICROSUICHE CONTRATAPA TECLADO CAJERO</t>
        </is>
      </c>
      <c r="R18" t="inlineStr">
        <is>
          <t>SGIII</t>
        </is>
      </c>
      <c r="S18" t="n">
        <v>0</v>
      </c>
      <c r="T18" t="inlineStr">
        <is>
          <t>sirley johana  osorno ciro</t>
        </is>
      </c>
      <c r="U18" t="inlineStr">
        <is>
          <t>Mal manejo</t>
        </is>
      </c>
      <c r="V18" t="inlineStr">
        <is>
          <t>BRINKS</t>
        </is>
      </c>
      <c r="W18" t="inlineStr">
        <is>
          <t>TRANSBANK</t>
        </is>
      </c>
      <c r="X18">
        <f>EXACT(TRIM(UPPER(V18)), TRIM(UPPER(W18)))</f>
        <v/>
      </c>
      <c r="Y18" t="inlineStr"/>
      <c r="Z18" t="n">
        <v>8</v>
      </c>
      <c r="AA18" t="inlineStr">
        <is>
          <t>Oportuno</t>
        </is>
      </c>
      <c r="AB18" s="1" t="n">
        <v>46221.64619212963</v>
      </c>
      <c r="AC18" t="n">
        <v>18</v>
      </c>
      <c r="AD18" s="1" t="n">
        <v>46221.64628472222</v>
      </c>
      <c r="AE18" s="1" t="n">
        <v>46221.69863425926</v>
      </c>
      <c r="AF18" t="n">
        <v>4531</v>
      </c>
      <c r="AG18" t="inlineStr">
        <is>
          <t>[2026-07-18 15:30:48] Laura Valentina Restrepo Jaramillo: [SOP:1] Validando Video ✅ [SOP:2] Enviando Reacción ✅ [SOP:3] Documentando ✅ || [2026-07-18 15:31:17] Laura Valentina Restrepo Jaramillo: Se verifica por video cámara relacionada en tiempo real, TDV en el punto en aparente normalidad bk || [2026-07-18 15:31:34] Laura Valentina Restrepo Jaramillo: Activación generada por desarme inoportuno</t>
        </is>
      </c>
    </row>
    <row r="19">
      <c r="A19" t="inlineStr">
        <is>
          <t>31592731-B799-4E6F-A7A7-D74AF616F0D1</t>
        </is>
      </c>
      <c r="B19" t="inlineStr">
        <is>
          <t>24B186EE-BE7F-4035-9205-9EA88969E3C0</t>
        </is>
      </c>
      <c r="C19" t="n">
        <v>1662</v>
      </c>
      <c r="D19" t="n">
        <v>5025</v>
      </c>
      <c r="E19" t="inlineStr">
        <is>
          <t>ATM</t>
        </is>
      </c>
      <c r="F19" t="inlineStr">
        <is>
          <t>BOG Y SABANA</t>
        </is>
      </c>
      <c r="G19" t="inlineStr">
        <is>
          <t>CUNDINAMARCA</t>
        </is>
      </c>
      <c r="H19" t="inlineStr">
        <is>
          <t>BOGOTÁ, D.C.</t>
        </is>
      </c>
      <c r="I19" t="n">
        <v>0</v>
      </c>
      <c r="J19" t="n">
        <v>2</v>
      </c>
      <c r="K19" t="inlineStr">
        <is>
          <t>Media</t>
        </is>
      </c>
      <c r="L19" t="inlineStr">
        <is>
          <t>WF 1047 - ZO01-Zonas 24H-ATM-AP:Disarm</t>
        </is>
      </c>
      <c r="M19" t="inlineStr">
        <is>
          <t>activación perimetral</t>
        </is>
      </c>
      <c r="N19" t="inlineStr">
        <is>
          <t>activación perimetral atm</t>
        </is>
      </c>
      <c r="O19" t="inlineStr">
        <is>
          <t>5025 C PORCIUNCULA - 1662 - VT - BELLTECH</t>
        </is>
      </c>
      <c r="P19" t="inlineStr">
        <is>
          <t>Honeywell7810PC-1662-105-6</t>
        </is>
      </c>
      <c r="Q19" t="inlineStr">
        <is>
          <t xml:space="preserve">MICROSUICHE DIAL COFRE CAJERO </t>
        </is>
      </c>
      <c r="R19" t="inlineStr">
        <is>
          <t>Honeywell</t>
        </is>
      </c>
      <c r="S19" t="n">
        <v>0</v>
      </c>
      <c r="T19" t="inlineStr">
        <is>
          <t>Laura Valentina Restrepo Jaramillo</t>
        </is>
      </c>
      <c r="U19" t="inlineStr">
        <is>
          <t>Mal manejo</t>
        </is>
      </c>
      <c r="V19" t="inlineStr">
        <is>
          <t>ATLAS</t>
        </is>
      </c>
      <c r="W19" t="inlineStr">
        <is>
          <t>VATCO</t>
        </is>
      </c>
      <c r="X19">
        <f>EXACT(TRIM(UPPER(V19)), TRIM(UPPER(W19)))</f>
        <v/>
      </c>
      <c r="Y19" t="inlineStr"/>
      <c r="Z19" t="n">
        <v>8</v>
      </c>
      <c r="AA19" t="inlineStr">
        <is>
          <t>Oportuno</t>
        </is>
      </c>
      <c r="AB19" s="1" t="n">
        <v>46221.72565972222</v>
      </c>
      <c r="AC19" t="n">
        <v>18</v>
      </c>
      <c r="AD19" s="1" t="n">
        <v>46221.72575231481</v>
      </c>
      <c r="AE19" s="1" t="n">
        <v>46221.7331712963</v>
      </c>
      <c r="AF19" t="n">
        <v>649</v>
      </c>
      <c r="AG19" t="inlineStr">
        <is>
          <t>[2026-07-18 17:25:29] Laura Valentina Restrepo Jaramillo: [SOP:1] Validando Video ✅ [SOP:2] Enviando Reacción ✅ [SOP:3] Documentando ✅ || [2026-07-18 17:26:21] Laura Valentina Restrepo Jaramillo: Se verifica por video cámara relacionada en tiempo real, TDV en el punto en aparente normalidad vatco || [2026-07-18 17:27:33] Laura Valentina Restrepo Jaramillo: Activación generada por desarme inoportuno</t>
        </is>
      </c>
    </row>
    <row r="20">
      <c r="A20" t="inlineStr">
        <is>
          <t>31592731-B799-4E6F-A7A7-D74AF616F0D1</t>
        </is>
      </c>
      <c r="B20" t="inlineStr">
        <is>
          <t>242C648A-8ACA-4563-A0CE-42B33F707431</t>
        </is>
      </c>
      <c r="C20" t="n">
        <v>1662</v>
      </c>
      <c r="D20" t="n">
        <v>5025</v>
      </c>
      <c r="E20" t="inlineStr">
        <is>
          <t>ATM</t>
        </is>
      </c>
      <c r="F20" t="inlineStr">
        <is>
          <t>BOG Y SABANA</t>
        </is>
      </c>
      <c r="G20" t="inlineStr">
        <is>
          <t>CUNDINAMARCA</t>
        </is>
      </c>
      <c r="H20" t="inlineStr">
        <is>
          <t>BOGOTÁ, D.C.</t>
        </is>
      </c>
      <c r="I20" t="n">
        <v>1</v>
      </c>
      <c r="J20" t="n">
        <v>2</v>
      </c>
      <c r="K20" t="inlineStr">
        <is>
          <t>Media</t>
        </is>
      </c>
      <c r="L20" t="inlineStr">
        <is>
          <t>WF 1047 - ZO01-Zonas 24H-ATM-AP:Disarm</t>
        </is>
      </c>
      <c r="M20" t="inlineStr">
        <is>
          <t>activación perimetral</t>
        </is>
      </c>
      <c r="N20" t="inlineStr">
        <is>
          <t>activación perimetral atm</t>
        </is>
      </c>
      <c r="O20" t="inlineStr">
        <is>
          <t>5025 C PORCIUNCULA - 1662 - VT - BELLTECH</t>
        </is>
      </c>
      <c r="P20" t="inlineStr">
        <is>
          <t>Honeywell7810PC-1662-106-6</t>
        </is>
      </c>
      <c r="Q20" t="inlineStr">
        <is>
          <t xml:space="preserve">MAGNETICO - COFRE CAJERO </t>
        </is>
      </c>
      <c r="R20" t="inlineStr">
        <is>
          <t>Honeywell</t>
        </is>
      </c>
      <c r="S20" t="n">
        <v>0</v>
      </c>
      <c r="T20" t="inlineStr">
        <is>
          <t>Laura Valentina Restrepo Jaramillo</t>
        </is>
      </c>
      <c r="U20" t="inlineStr">
        <is>
          <t>Mal manejo</t>
        </is>
      </c>
      <c r="V20" t="inlineStr">
        <is>
          <t>ATLAS</t>
        </is>
      </c>
      <c r="W20" t="inlineStr">
        <is>
          <t>VATCO</t>
        </is>
      </c>
      <c r="X20">
        <f>EXACT(TRIM(UPPER(V20)), TRIM(UPPER(W20)))</f>
        <v/>
      </c>
      <c r="Y20" t="inlineStr"/>
      <c r="Z20" t="n">
        <v>6</v>
      </c>
      <c r="AA20" t="inlineStr">
        <is>
          <t>Oportuno</t>
        </is>
      </c>
      <c r="AB20" s="1" t="n">
        <v>46221.72568287037</v>
      </c>
      <c r="AC20" t="n">
        <v>18</v>
      </c>
      <c r="AD20" s="1" t="n">
        <v>46221.72575231481</v>
      </c>
      <c r="AE20" s="1" t="n">
        <v>46221.7331712963</v>
      </c>
      <c r="AF20" t="n">
        <v>647</v>
      </c>
      <c r="AG20" t="inlineStr"/>
    </row>
    <row r="21">
      <c r="A21" t="inlineStr">
        <is>
          <t>8C0F9B3E-8EE5-4C90-AD6F-84FAAAD51FA7</t>
        </is>
      </c>
      <c r="B21" t="inlineStr">
        <is>
          <t>7CF102CE-340B-446A-AF0B-28C5261455D1</t>
        </is>
      </c>
      <c r="C21" t="n">
        <v>5494</v>
      </c>
      <c r="D21" t="n">
        <v>1126</v>
      </c>
      <c r="E21" t="inlineStr">
        <is>
          <t>ATM</t>
        </is>
      </c>
      <c r="F21" t="inlineStr">
        <is>
          <t>BOG Y SABANA</t>
        </is>
      </c>
      <c r="G21" t="inlineStr">
        <is>
          <t>CUNDINAMARCA</t>
        </is>
      </c>
      <c r="H21" t="inlineStr">
        <is>
          <t>BOGOTÁ D.C.</t>
        </is>
      </c>
      <c r="I21" t="n">
        <v>1</v>
      </c>
      <c r="J21" t="n">
        <v>2</v>
      </c>
      <c r="K21" t="inlineStr">
        <is>
          <t>Media</t>
        </is>
      </c>
      <c r="L21" t="inlineStr">
        <is>
          <t>WF 1047 - ZO01-Zonas 24H-ATM-AP:Disarm</t>
        </is>
      </c>
      <c r="M21" t="inlineStr">
        <is>
          <t>activación perimetral</t>
        </is>
      </c>
      <c r="N21" t="inlineStr">
        <is>
          <t>activación perimetral atm</t>
        </is>
      </c>
      <c r="O21" t="inlineStr">
        <is>
          <t>1126 C HALL CC GRAN PLAZA BOSA - 5494</t>
        </is>
      </c>
      <c r="P21" t="inlineStr">
        <is>
          <t>SGIII-5494-55-8</t>
        </is>
      </c>
      <c r="Q21" t="inlineStr">
        <is>
          <t>MAGNETICO CONTRATAPA INFERIOR CAJERO</t>
        </is>
      </c>
      <c r="R21" t="inlineStr">
        <is>
          <t>SGIII</t>
        </is>
      </c>
      <c r="S21" t="n">
        <v>0</v>
      </c>
      <c r="T21" t="inlineStr">
        <is>
          <t>Laura Valentina Restrepo Jaramillo</t>
        </is>
      </c>
      <c r="U21" t="inlineStr">
        <is>
          <t>Mal manejo (Reacción)</t>
        </is>
      </c>
      <c r="V21" t="inlineStr">
        <is>
          <t>ATLAS</t>
        </is>
      </c>
      <c r="W21" t="inlineStr"/>
      <c r="X21">
        <f>EXACT(TRIM(UPPER(V21)), TRIM(UPPER(W21)))</f>
        <v/>
      </c>
      <c r="Y21" t="inlineStr"/>
      <c r="Z21" t="n">
        <v>10</v>
      </c>
      <c r="AA21" t="inlineStr">
        <is>
          <t>Oportuno</t>
        </is>
      </c>
      <c r="AB21" s="1" t="n">
        <v>46223.68127314815</v>
      </c>
      <c r="AC21" t="n">
        <v>20</v>
      </c>
      <c r="AD21" s="1" t="n">
        <v>46223.68138888889</v>
      </c>
      <c r="AE21" s="1" t="n">
        <v>46223.68289351852</v>
      </c>
      <c r="AF21" t="n">
        <v>140</v>
      </c>
      <c r="AG21" t="inlineStr">
        <is>
          <t>[2026-07-20 16:21:34] Laura Valentina Restrepo Jaramillo: [SOP:1] Validando Video ✅ [SOP:2] Enviando Reacción ✅ [SOP:3] Documentando ✅ || [2026-07-20 16:22:24] Laura Valentina Restrepo Jaramillo: desarme por atlas || [2026-07-20 16:22:29] Laura Valentina Restrepo Jaramillo: video en genetec || [2026-07-20 16:22:37] Laura Valentina Restrepo Jaramillo: Activación generada por desarme inoportuno</t>
        </is>
      </c>
    </row>
    <row r="22">
      <c r="A22" t="inlineStr">
        <is>
          <t>0AF23925-07BD-45FB-90A7-7CA5C5C737BD</t>
        </is>
      </c>
      <c r="B22" t="inlineStr">
        <is>
          <t>9AACD479-3AFD-40AF-BE09-556D2EC2B8BB</t>
        </is>
      </c>
      <c r="C22" t="n">
        <v>6978</v>
      </c>
      <c r="D22" t="n">
        <v>8818</v>
      </c>
      <c r="E22" t="inlineStr">
        <is>
          <t>ATM</t>
        </is>
      </c>
      <c r="F22" t="inlineStr">
        <is>
          <t>SUR</t>
        </is>
      </c>
      <c r="G22" t="inlineStr">
        <is>
          <t>VALLE DEL CAUCA</t>
        </is>
      </c>
      <c r="H22" t="inlineStr">
        <is>
          <t>CALI</t>
        </is>
      </c>
      <c r="I22" t="n">
        <v>1</v>
      </c>
      <c r="J22" t="n">
        <v>2</v>
      </c>
      <c r="K22" t="inlineStr">
        <is>
          <t>Media</t>
        </is>
      </c>
      <c r="L22" t="inlineStr">
        <is>
          <t>WF 1047 - ZO01-Zonas 24H-ATM-AP:Disarm</t>
        </is>
      </c>
      <c r="M22" t="inlineStr">
        <is>
          <t>activación perimetral</t>
        </is>
      </c>
      <c r="N22" t="inlineStr">
        <is>
          <t>activación perimetral atm</t>
        </is>
      </c>
      <c r="O22" t="inlineStr">
        <is>
          <t>8818 C SUPERINTER LA UNION - 6978 - BK - DIEBOLD</t>
        </is>
      </c>
      <c r="P22" t="inlineStr">
        <is>
          <t>SGIII-6978-2-1</t>
        </is>
      </c>
      <c r="Q22" t="inlineStr">
        <is>
          <t>MICROSUICHE TAPA TECLADO ESTUCHE CAJERO</t>
        </is>
      </c>
      <c r="R22" t="inlineStr">
        <is>
          <t>SGIII</t>
        </is>
      </c>
      <c r="S22" t="n">
        <v>0</v>
      </c>
      <c r="T22" t="inlineStr">
        <is>
          <t>Adier Cuitiva Mayo</t>
        </is>
      </c>
      <c r="U22" t="inlineStr">
        <is>
          <t>Mal manejo</t>
        </is>
      </c>
      <c r="V22" t="inlineStr">
        <is>
          <t>TRANSBANK</t>
        </is>
      </c>
      <c r="W22" t="inlineStr">
        <is>
          <t>BRINKS</t>
        </is>
      </c>
      <c r="X22">
        <f>EXACT(TRIM(UPPER(V22)), TRIM(UPPER(W22)))</f>
        <v/>
      </c>
      <c r="Y22" t="inlineStr"/>
      <c r="Z22" t="n">
        <v>8</v>
      </c>
      <c r="AA22" t="inlineStr">
        <is>
          <t>Oportuno</t>
        </is>
      </c>
      <c r="AB22" s="1" t="n">
        <v>46224.32599537037</v>
      </c>
      <c r="AC22" t="n">
        <v>21</v>
      </c>
      <c r="AD22" s="1" t="n">
        <v>46224.32608796296</v>
      </c>
      <c r="AE22" s="1" t="n">
        <v>46224.57172453704</v>
      </c>
      <c r="AF22" t="n">
        <v>21231</v>
      </c>
      <c r="AG22" t="inlineStr">
        <is>
          <t>[2026-07-21 07:49:40] Adier Cuitiva Mayo: [SOP:1] Validando Video ✅ [SOP:2] Enviando Reacción ✅ [SOP:3] Documentando ✅ || [2026-07-21 07:50:00] Adier Cuitiva Mayo: Se verifica por video cámara relacionada en tiempo real, TDV TBS en el punto en aparente normalidad || [2026-07-21 07:50:15] Adier Cuitiva Mayo: Se genera cobro de malos manejos por desarme no oportuno</t>
        </is>
      </c>
    </row>
    <row r="23">
      <c r="A23" t="inlineStr">
        <is>
          <t>0AF23925-07BD-45FB-90A7-7CA5C5C737BD</t>
        </is>
      </c>
      <c r="B23" t="inlineStr">
        <is>
          <t>9A4FECAB-9CCF-4E1C-A9A3-054D08F48324</t>
        </is>
      </c>
      <c r="C23" t="n">
        <v>6978</v>
      </c>
      <c r="D23" t="n">
        <v>8818</v>
      </c>
      <c r="E23" t="inlineStr">
        <is>
          <t>ATM</t>
        </is>
      </c>
      <c r="F23" t="inlineStr">
        <is>
          <t>SUR</t>
        </is>
      </c>
      <c r="G23" t="inlineStr">
        <is>
          <t>VALLE DEL CAUCA</t>
        </is>
      </c>
      <c r="H23" t="inlineStr">
        <is>
          <t>CALI</t>
        </is>
      </c>
      <c r="I23" t="n">
        <v>0</v>
      </c>
      <c r="J23" t="n">
        <v>2</v>
      </c>
      <c r="K23" t="inlineStr">
        <is>
          <t>Media</t>
        </is>
      </c>
      <c r="L23" t="inlineStr">
        <is>
          <t>WF 1047 - ZO01-Zonas 24H-ATM-AP:Disarm</t>
        </is>
      </c>
      <c r="M23" t="inlineStr">
        <is>
          <t>activación perimetral</t>
        </is>
      </c>
      <c r="N23" t="inlineStr">
        <is>
          <t>activación perimetral atm</t>
        </is>
      </c>
      <c r="O23" t="inlineStr">
        <is>
          <t>8818 C SUPERINTER LA UNION - 6978 - BK - DIEBOLD</t>
        </is>
      </c>
      <c r="P23" t="inlineStr">
        <is>
          <t>SGIII-6978-3-2</t>
        </is>
      </c>
      <c r="Q23" t="inlineStr">
        <is>
          <t>MAGNETICO CONTRATAPA INFERIOR CAJERO</t>
        </is>
      </c>
      <c r="R23" t="inlineStr">
        <is>
          <t>SGIII</t>
        </is>
      </c>
      <c r="S23" t="n">
        <v>0</v>
      </c>
      <c r="T23" t="inlineStr">
        <is>
          <t>Adier Cuitiva Mayo</t>
        </is>
      </c>
      <c r="U23" t="inlineStr">
        <is>
          <t>Mal manejo</t>
        </is>
      </c>
      <c r="V23" t="inlineStr">
        <is>
          <t>TRANSBANK</t>
        </is>
      </c>
      <c r="W23" t="inlineStr">
        <is>
          <t>BRINKS</t>
        </is>
      </c>
      <c r="X23">
        <f>EXACT(TRIM(UPPER(V23)), TRIM(UPPER(W23)))</f>
        <v/>
      </c>
      <c r="Y23" t="inlineStr"/>
      <c r="Z23" t="n">
        <v>2</v>
      </c>
      <c r="AA23" t="inlineStr">
        <is>
          <t>Oportuno</t>
        </is>
      </c>
      <c r="AB23" s="1" t="n">
        <v>46224.3272337963</v>
      </c>
      <c r="AC23" t="n">
        <v>21</v>
      </c>
      <c r="AD23" s="1" t="n">
        <v>46224.32725694445</v>
      </c>
      <c r="AE23" s="1" t="n">
        <v>46224.57172453704</v>
      </c>
      <c r="AF23" t="n">
        <v>21124</v>
      </c>
      <c r="AG23" t="inlineStr"/>
    </row>
    <row r="24">
      <c r="A24" t="inlineStr">
        <is>
          <t>AB81C9CB-7557-4805-BFA4-ED6030F47AB6</t>
        </is>
      </c>
      <c r="B24" t="inlineStr">
        <is>
          <t>B33DCBBA-96B5-42C4-B944-1E3346E3E44C</t>
        </is>
      </c>
      <c r="C24" t="n">
        <v>7701</v>
      </c>
      <c r="D24" t="n">
        <v>6468</v>
      </c>
      <c r="E24" t="inlineStr">
        <is>
          <t>ATM</t>
        </is>
      </c>
      <c r="F24" t="inlineStr">
        <is>
          <t>ANTIOQUIA</t>
        </is>
      </c>
      <c r="G24" t="inlineStr">
        <is>
          <t>ANTIOQUIA</t>
        </is>
      </c>
      <c r="H24" t="inlineStr">
        <is>
          <t>MEDELLÍN</t>
        </is>
      </c>
      <c r="I24" t="n">
        <v>1</v>
      </c>
      <c r="J24" t="n">
        <v>2</v>
      </c>
      <c r="K24" t="inlineStr">
        <is>
          <t>Media</t>
        </is>
      </c>
      <c r="L24" t="inlineStr">
        <is>
          <t>WF 1047 - ZO01-Zonas 24H-ATM-AP:Disarm</t>
        </is>
      </c>
      <c r="M24" t="inlineStr">
        <is>
          <t>activación perimetral</t>
        </is>
      </c>
      <c r="N24" t="inlineStr">
        <is>
          <t>activación perimetral atm</t>
        </is>
      </c>
      <c r="O24" t="inlineStr">
        <is>
          <t>6468 C C.C EL TESORO - 7701 - BK - BELLTECH</t>
        </is>
      </c>
      <c r="P24" t="inlineStr">
        <is>
          <t>SGIII-7701-38-4</t>
        </is>
      </c>
      <c r="Q24" t="inlineStr">
        <is>
          <t>MICROSUICHE CONTRATAPA MECANISMOS  CAJERO</t>
        </is>
      </c>
      <c r="R24" t="inlineStr">
        <is>
          <t>SGIII</t>
        </is>
      </c>
      <c r="S24" t="n">
        <v>0</v>
      </c>
      <c r="T24" t="inlineStr">
        <is>
          <t>ARELY TORRES</t>
        </is>
      </c>
      <c r="U24" t="inlineStr">
        <is>
          <t>Mal manejo</t>
        </is>
      </c>
      <c r="V24" t="inlineStr">
        <is>
          <t>BRINKS</t>
        </is>
      </c>
      <c r="W24" t="inlineStr">
        <is>
          <t>ATLAS</t>
        </is>
      </c>
      <c r="X24">
        <f>EXACT(TRIM(UPPER(V24)), TRIM(UPPER(W24)))</f>
        <v/>
      </c>
      <c r="Y24" t="inlineStr"/>
      <c r="Z24" t="n">
        <v>3</v>
      </c>
      <c r="AA24" t="inlineStr">
        <is>
          <t>Oportuno</t>
        </is>
      </c>
      <c r="AB24" s="1" t="n">
        <v>46224.39787037037</v>
      </c>
      <c r="AC24" t="n">
        <v>21</v>
      </c>
      <c r="AD24" s="1" t="n">
        <v>46224.39790509259</v>
      </c>
      <c r="AE24" s="1" t="n">
        <v>46224.44340277778</v>
      </c>
      <c r="AF24" t="n">
        <v>3934</v>
      </c>
      <c r="AG24" t="inlineStr">
        <is>
          <t>[2026-07-21 09:33:34] ARELY TORRES: [SOP:1] Validando Video ✅ [SOP:2] Enviando Reacción ✅ [SOP:3] Documentando ✅ || [2026-07-21 09:35:47] ARELY TORRES: SE GENERA COBRO DE MALOS, ZONA SIN BYPASEAR A TIEMPO Se valida video por Command y no se evidencia novedad. TDV EN SITIO || [2026-07-21 09:35:50] ARELY TORRES: BK</t>
        </is>
      </c>
    </row>
    <row r="25">
      <c r="A25" t="inlineStr">
        <is>
          <t>19E213B0-0D6A-45A1-B7F4-21D694E314C4</t>
        </is>
      </c>
      <c r="B25" t="inlineStr">
        <is>
          <t>BE1F20F7-2AF2-49D8-A4A9-FEBC1DD3192B</t>
        </is>
      </c>
      <c r="C25" t="n">
        <v>7505</v>
      </c>
      <c r="D25" t="n">
        <v>7090</v>
      </c>
      <c r="E25" t="inlineStr">
        <is>
          <t>ATM</t>
        </is>
      </c>
      <c r="F25" t="inlineStr">
        <is>
          <t>BOG Y SABANA</t>
        </is>
      </c>
      <c r="G25" t="inlineStr">
        <is>
          <t>CUNDINAMARCA</t>
        </is>
      </c>
      <c r="H25" t="inlineStr">
        <is>
          <t>BOGOTÁ, D.C.</t>
        </is>
      </c>
      <c r="I25" t="n">
        <v>1</v>
      </c>
      <c r="J25" t="n">
        <v>2</v>
      </c>
      <c r="K25" t="inlineStr">
        <is>
          <t>Media</t>
        </is>
      </c>
      <c r="L25" t="inlineStr">
        <is>
          <t>WF 1047 - ZO01-Zonas 24H-ATM-AP:Disarm</t>
        </is>
      </c>
      <c r="M25" t="inlineStr">
        <is>
          <t>activación perimetral</t>
        </is>
      </c>
      <c r="N25" t="inlineStr">
        <is>
          <t>activación perimetral atm</t>
        </is>
      </c>
      <c r="O25" t="inlineStr">
        <is>
          <t>7090 C FUNDACION CARDIO INFANTIL S - 7505 - BK - DIEBOLD</t>
        </is>
      </c>
      <c r="P25" t="inlineStr">
        <is>
          <t>SGIII-7505-4-2</t>
        </is>
      </c>
      <c r="Q25" t="inlineStr">
        <is>
          <t xml:space="preserve">MAGNETICO FASCIA SUPERIOR CAJERO </t>
        </is>
      </c>
      <c r="R25" t="inlineStr">
        <is>
          <t>SGIII</t>
        </is>
      </c>
      <c r="S25" t="n">
        <v>0</v>
      </c>
      <c r="T25" t="inlineStr">
        <is>
          <t>Adier Cuitiva Mayo</t>
        </is>
      </c>
      <c r="U25" t="inlineStr">
        <is>
          <t>Mal manejo</t>
        </is>
      </c>
      <c r="V25" t="inlineStr">
        <is>
          <t>TRANSBANK</t>
        </is>
      </c>
      <c r="W25" t="inlineStr">
        <is>
          <t>BRINKS</t>
        </is>
      </c>
      <c r="X25">
        <f>EXACT(TRIM(UPPER(V25)), TRIM(UPPER(W25)))</f>
        <v/>
      </c>
      <c r="Y25" t="inlineStr"/>
      <c r="Z25" t="n">
        <v>3</v>
      </c>
      <c r="AA25" t="inlineStr">
        <is>
          <t>Oportuno</t>
        </is>
      </c>
      <c r="AB25" s="1" t="n">
        <v>46224.43133101852</v>
      </c>
      <c r="AC25" t="n">
        <v>21</v>
      </c>
      <c r="AD25" s="1" t="n">
        <v>46224.43136574074</v>
      </c>
      <c r="AE25" s="1" t="n">
        <v>46224.55733796296</v>
      </c>
      <c r="AF25" t="n">
        <v>10887</v>
      </c>
      <c r="AG25" t="inlineStr">
        <is>
          <t>[2026-07-21 10:21:20] Adier Cuitiva Mayo: [SOP:1] Validando Video ✅ [SOP:2] Enviando Reacción ✅ [SOP:3] Documentando ✅ || [2026-07-21 10:27:43] Adier Cuitiva Mayo: Se verifica por video cámara relacionada en tiempo real, TDV BK en el punto en aparente normalidad || [2026-07-21 10:28:00] Adier Cuitiva Mayo: Se genera cobro de malos manejos por desarme no oportuno</t>
        </is>
      </c>
    </row>
    <row r="26">
      <c r="A26" t="inlineStr">
        <is>
          <t>19E213B0-0D6A-45A1-B7F4-21D694E314C4</t>
        </is>
      </c>
      <c r="B26" t="inlineStr">
        <is>
          <t>FDA2A2BC-10CF-4CD5-BDF0-5C67FC8C7D2A</t>
        </is>
      </c>
      <c r="C26" t="n">
        <v>7505</v>
      </c>
      <c r="D26" t="n">
        <v>7090</v>
      </c>
      <c r="E26" t="inlineStr">
        <is>
          <t>ATM</t>
        </is>
      </c>
      <c r="F26" t="inlineStr">
        <is>
          <t>BOG Y SABANA</t>
        </is>
      </c>
      <c r="G26" t="inlineStr">
        <is>
          <t>CUNDINAMARCA</t>
        </is>
      </c>
      <c r="H26" t="inlineStr">
        <is>
          <t>BOGOTÁ, D.C.</t>
        </is>
      </c>
      <c r="I26" t="n">
        <v>0</v>
      </c>
      <c r="J26" t="n">
        <v>2</v>
      </c>
      <c r="K26" t="inlineStr">
        <is>
          <t>Media</t>
        </is>
      </c>
      <c r="L26" t="inlineStr">
        <is>
          <t>WF 1047 - ZO01-Zonas 24H-ATM-AP:Disarm</t>
        </is>
      </c>
      <c r="M26" t="inlineStr">
        <is>
          <t>activación perimetral</t>
        </is>
      </c>
      <c r="N26" t="inlineStr">
        <is>
          <t>activación perimetral atm</t>
        </is>
      </c>
      <c r="O26" t="inlineStr">
        <is>
          <t>7090 C FUNDACION CARDIO INFANTIL S - 7505 - BK - DIEBOLD</t>
        </is>
      </c>
      <c r="P26" t="inlineStr">
        <is>
          <t>SGIII-7505-3-2</t>
        </is>
      </c>
      <c r="Q26" t="inlineStr">
        <is>
          <t xml:space="preserve">MAGNETICO CONTRATAPA INFERIOR CAJERO </t>
        </is>
      </c>
      <c r="R26" t="inlineStr">
        <is>
          <t>SGIII</t>
        </is>
      </c>
      <c r="S26" t="n">
        <v>0</v>
      </c>
      <c r="T26" t="inlineStr">
        <is>
          <t>Adier Cuitiva Mayo</t>
        </is>
      </c>
      <c r="U26" t="inlineStr">
        <is>
          <t>Mal manejo</t>
        </is>
      </c>
      <c r="V26" t="inlineStr">
        <is>
          <t>TRANSBANK</t>
        </is>
      </c>
      <c r="W26" t="inlineStr">
        <is>
          <t>BRINKS</t>
        </is>
      </c>
      <c r="X26">
        <f>EXACT(TRIM(UPPER(V26)), TRIM(UPPER(W26)))</f>
        <v/>
      </c>
      <c r="Y26" t="inlineStr"/>
      <c r="Z26" t="n">
        <v>4</v>
      </c>
      <c r="AA26" t="inlineStr">
        <is>
          <t>Oportuno</t>
        </is>
      </c>
      <c r="AB26" s="1" t="n">
        <v>46224.43133101852</v>
      </c>
      <c r="AC26" t="n">
        <v>21</v>
      </c>
      <c r="AD26" s="1" t="n">
        <v>46224.43137731482</v>
      </c>
      <c r="AE26" s="1" t="n">
        <v>46224.55733796296</v>
      </c>
      <c r="AF26" t="n">
        <v>10887</v>
      </c>
      <c r="AG26" t="inlineStr"/>
    </row>
    <row r="27">
      <c r="A27" t="inlineStr">
        <is>
          <t>0DCDC988-EAD3-46D5-BC8D-B14A828F858C</t>
        </is>
      </c>
      <c r="B27" t="inlineStr">
        <is>
          <t>8F31C86A-D7C6-4081-AC7F-7A2F723D4698</t>
        </is>
      </c>
      <c r="C27" t="n">
        <v>5494</v>
      </c>
      <c r="D27" t="n">
        <v>1126</v>
      </c>
      <c r="E27" t="inlineStr">
        <is>
          <t>ATM</t>
        </is>
      </c>
      <c r="F27" t="inlineStr">
        <is>
          <t>BOG Y SABANA</t>
        </is>
      </c>
      <c r="G27" t="inlineStr">
        <is>
          <t>CUNDINAMARCA</t>
        </is>
      </c>
      <c r="H27" t="inlineStr">
        <is>
          <t>BOGOTÁ D.C.</t>
        </is>
      </c>
      <c r="I27" t="n">
        <v>1</v>
      </c>
      <c r="J27" t="n">
        <v>2</v>
      </c>
      <c r="K27" t="inlineStr">
        <is>
          <t>Media</t>
        </is>
      </c>
      <c r="L27" t="inlineStr">
        <is>
          <t>WF 1047 - ZO01-Zonas 24H-ATM-AP:Disarm</t>
        </is>
      </c>
      <c r="M27" t="inlineStr">
        <is>
          <t>activación perimetral</t>
        </is>
      </c>
      <c r="N27" t="inlineStr">
        <is>
          <t>activación perimetral atm</t>
        </is>
      </c>
      <c r="O27" t="inlineStr">
        <is>
          <t>1126 1125 1124 1123 1122 1121 1120 C HALL CC GRAN PLAZA BOSA - 5494</t>
        </is>
      </c>
      <c r="P27" t="inlineStr">
        <is>
          <t>SGIII-5494-45-6</t>
        </is>
      </c>
      <c r="Q27" t="inlineStr">
        <is>
          <t>MICROSUICHE TAPA TECLADO HALL CAJERO</t>
        </is>
      </c>
      <c r="R27" t="inlineStr">
        <is>
          <t>SGIII</t>
        </is>
      </c>
      <c r="S27" t="n">
        <v>0</v>
      </c>
      <c r="T27" t="inlineStr">
        <is>
          <t>ARELY TORRES</t>
        </is>
      </c>
      <c r="U27" t="inlineStr">
        <is>
          <t>Mal manejo</t>
        </is>
      </c>
      <c r="V27" t="inlineStr">
        <is>
          <t>ATLAS</t>
        </is>
      </c>
      <c r="W27" t="inlineStr"/>
      <c r="X27">
        <f>EXACT(TRIM(UPPER(V27)), TRIM(UPPER(W27)))</f>
        <v/>
      </c>
      <c r="Y27" t="inlineStr"/>
      <c r="Z27" t="n">
        <v>6</v>
      </c>
      <c r="AA27" t="inlineStr">
        <is>
          <t>Oportuno</t>
        </is>
      </c>
      <c r="AB27" s="1" t="n">
        <v>46225.30646990741</v>
      </c>
      <c r="AC27" t="n">
        <v>22</v>
      </c>
      <c r="AD27" s="1" t="n">
        <v>46225.30653935186</v>
      </c>
      <c r="AE27" s="1" t="n">
        <v>46225.32010416667</v>
      </c>
      <c r="AF27" t="n">
        <v>1178</v>
      </c>
      <c r="AG27" t="inlineStr">
        <is>
          <t>[2026-07-22 07:21:29] ARELY TORRES: [SOP:1] Validando Video ✅ [SOP:2] Enviando Reacción ✅ || [2026-07-22 07:21:29] ARELY TORRES: [SOP:3] Documentando ✅ || [2026-07-22 07:27:11] ARELY TORRES: Se valida video por GENETEC y no se evidencia novedad.   SIN NOVEDAD AL MOMENTO. || [2026-07-22 07:31:18] ARELY TORRES: DESARME POR ATLAS</t>
        </is>
      </c>
    </row>
    <row r="28">
      <c r="A28" t="inlineStr">
        <is>
          <t>0DCDC988-EAD3-46D5-BC8D-B14A828F858C</t>
        </is>
      </c>
      <c r="B28" t="inlineStr">
        <is>
          <t>BF6B02BB-223C-41DE-AE6A-C56E4C2EF176</t>
        </is>
      </c>
      <c r="C28" t="n">
        <v>5494</v>
      </c>
      <c r="D28" t="n">
        <v>1125</v>
      </c>
      <c r="E28" t="inlineStr">
        <is>
          <t>ATM</t>
        </is>
      </c>
      <c r="F28" t="inlineStr">
        <is>
          <t>BOG Y SABANA</t>
        </is>
      </c>
      <c r="G28" t="inlineStr">
        <is>
          <t>CUNDINAMARCA</t>
        </is>
      </c>
      <c r="H28" t="inlineStr">
        <is>
          <t>BOGOTÁ D.C.</t>
        </is>
      </c>
      <c r="I28" t="n">
        <v>0</v>
      </c>
      <c r="J28" t="n">
        <v>2</v>
      </c>
      <c r="K28" t="inlineStr">
        <is>
          <t>Media</t>
        </is>
      </c>
      <c r="L28" t="inlineStr">
        <is>
          <t>WF 1047 - ZO01-Zonas 24H-ATM-AP:Disarm</t>
        </is>
      </c>
      <c r="M28" t="inlineStr">
        <is>
          <t>activación perimetral</t>
        </is>
      </c>
      <c r="N28" t="inlineStr">
        <is>
          <t>activación perimetral atm</t>
        </is>
      </c>
      <c r="O28" t="inlineStr">
        <is>
          <t>1125 C HALL CC GRAN PLAZA BOSA - 5494</t>
        </is>
      </c>
      <c r="P28" t="inlineStr">
        <is>
          <t>SGIII-5494-46-7</t>
        </is>
      </c>
      <c r="Q28" t="inlineStr">
        <is>
          <t>MAGNETICO CONTRATAPA INFERIOR CAJERO</t>
        </is>
      </c>
      <c r="R28" t="inlineStr">
        <is>
          <t>SGIII</t>
        </is>
      </c>
      <c r="S28" t="n">
        <v>0</v>
      </c>
      <c r="T28" t="inlineStr">
        <is>
          <t>ARELY TORRES</t>
        </is>
      </c>
      <c r="U28" t="inlineStr">
        <is>
          <t>Mal manejo</t>
        </is>
      </c>
      <c r="V28" t="inlineStr">
        <is>
          <t>ATLAS</t>
        </is>
      </c>
      <c r="W28" t="inlineStr"/>
      <c r="X28">
        <f>EXACT(TRIM(UPPER(V28)), TRIM(UPPER(W28)))</f>
        <v/>
      </c>
      <c r="Y28" t="inlineStr"/>
      <c r="Z28" t="n">
        <v>4</v>
      </c>
      <c r="AA28" t="inlineStr">
        <is>
          <t>Oportuno</t>
        </is>
      </c>
      <c r="AB28" s="1" t="n">
        <v>46225.30657407407</v>
      </c>
      <c r="AC28" t="n">
        <v>22</v>
      </c>
      <c r="AD28" s="1" t="n">
        <v>46225.30662037037</v>
      </c>
      <c r="AE28" s="1" t="n">
        <v>46225.32010416667</v>
      </c>
      <c r="AF28" t="n">
        <v>1169</v>
      </c>
      <c r="AG28" t="inlineStr"/>
    </row>
    <row r="29">
      <c r="A29" t="inlineStr">
        <is>
          <t>09500E71-5FD8-43CE-9937-6DC48F74548D</t>
        </is>
      </c>
      <c r="B29" t="inlineStr">
        <is>
          <t>187C1603-23FE-4787-84A5-10616B32DEC8</t>
        </is>
      </c>
      <c r="C29" t="n">
        <v>7379</v>
      </c>
      <c r="D29" t="n">
        <v>6244</v>
      </c>
      <c r="E29" t="inlineStr">
        <is>
          <t>ATM</t>
        </is>
      </c>
      <c r="F29" t="inlineStr">
        <is>
          <t>CARIBE</t>
        </is>
      </c>
      <c r="G29" t="inlineStr">
        <is>
          <t>BOLIVAR</t>
        </is>
      </c>
      <c r="H29" t="inlineStr">
        <is>
          <t>CARTAGENA</t>
        </is>
      </c>
      <c r="I29" t="n">
        <v>1</v>
      </c>
      <c r="J29" t="n">
        <v>2</v>
      </c>
      <c r="K29" t="inlineStr">
        <is>
          <t>Media</t>
        </is>
      </c>
      <c r="L29" t="inlineStr">
        <is>
          <t>WF 1055 - ZO09-Zonas 24H-Tamper y Antimascara AP:A</t>
        </is>
      </c>
      <c r="M29" t="inlineStr">
        <is>
          <t>activación tamper y antimascara</t>
        </is>
      </c>
      <c r="N29" t="inlineStr">
        <is>
          <t>activación tamper y antimascara</t>
        </is>
      </c>
      <c r="O29" t="inlineStr">
        <is>
          <t>6244 6976 7635 7636 9813 C HALL LA MATUNA - 7379 - BK - BELLTECH</t>
        </is>
      </c>
      <c r="P29" t="inlineStr">
        <is>
          <t>SGIII-7379-8-1</t>
        </is>
      </c>
      <c r="Q29" t="inlineStr">
        <is>
          <t xml:space="preserve">TAMPER CENTRAL ALARMA CAJERO </t>
        </is>
      </c>
      <c r="R29" t="inlineStr">
        <is>
          <t>SGIII</t>
        </is>
      </c>
      <c r="S29" t="n">
        <v>1</v>
      </c>
      <c r="T29" t="inlineStr">
        <is>
          <t>Jhon Fredy Ocampo Yepez</t>
        </is>
      </c>
      <c r="U29" t="inlineStr">
        <is>
          <t>Mal manejo</t>
        </is>
      </c>
      <c r="V29" t="inlineStr">
        <is>
          <t>DIEBOLD</t>
        </is>
      </c>
      <c r="W29" t="inlineStr">
        <is>
          <t>BELLTECH</t>
        </is>
      </c>
      <c r="X29">
        <f>EXACT(TRIM(UPPER(V29)), TRIM(UPPER(W29)))</f>
        <v/>
      </c>
      <c r="Y29" t="inlineStr"/>
      <c r="Z29" t="n">
        <v>11</v>
      </c>
      <c r="AA29" t="inlineStr">
        <is>
          <t>Oportuno</t>
        </is>
      </c>
      <c r="AB29" s="1" t="n">
        <v>46225.40084490741</v>
      </c>
      <c r="AC29" t="n">
        <v>22</v>
      </c>
      <c r="AD29" s="1" t="n">
        <v>46225.40097222223</v>
      </c>
      <c r="AE29" s="1" t="n">
        <v>46225.4022800926</v>
      </c>
      <c r="AF29" t="n">
        <v>124</v>
      </c>
      <c r="AG29" t="inlineStr">
        <is>
          <t>[2026-07-22 09:38:00] Jhon Fredy Ocampo Yepez: [SOP:1] Validando Video ✅ [SOP:2] Enviando Reacción ✅ [SOP:3] Documentando ✅ || [2026-07-22 09:38:23] Jhon Fredy Ocampo Yepez: Se verifica por video COMMAND , Todas las cámaras en tiempo real, se observa el SITIO en aparente normalidad y sin afectación alguna Se observa personal TECNICO DE DIEBOLD en el sitio || [2026-07-22 09:38:43] Jhon Fredy Ocampo Yepez: Mal manejo por no bypassear Zona</t>
        </is>
      </c>
    </row>
    <row r="30">
      <c r="A30" t="inlineStr">
        <is>
          <t>1D7FEB33-390C-4823-835B-1CE24653B150</t>
        </is>
      </c>
      <c r="B30" t="inlineStr">
        <is>
          <t>EC04506F-F07D-49ED-941A-38DAF157EA3E</t>
        </is>
      </c>
      <c r="C30" t="n">
        <v>1430</v>
      </c>
      <c r="D30" t="n">
        <v>7140</v>
      </c>
      <c r="E30" t="inlineStr">
        <is>
          <t>ATM</t>
        </is>
      </c>
      <c r="F30" t="inlineStr">
        <is>
          <t>ANTIOQUIA</t>
        </is>
      </c>
      <c r="G30" t="inlineStr">
        <is>
          <t>ANTIOQUIA</t>
        </is>
      </c>
      <c r="H30" t="inlineStr">
        <is>
          <t>MEDELLÍN</t>
        </is>
      </c>
      <c r="I30" t="n">
        <v>1</v>
      </c>
      <c r="J30" t="n">
        <v>2</v>
      </c>
      <c r="K30" t="inlineStr">
        <is>
          <t>Media</t>
        </is>
      </c>
      <c r="L30" t="inlineStr">
        <is>
          <t>WF 1047 - ZO01-Zonas 24H-ATM-AP:Disarm</t>
        </is>
      </c>
      <c r="M30" t="inlineStr">
        <is>
          <t>activación perimetral</t>
        </is>
      </c>
      <c r="N30" t="inlineStr">
        <is>
          <t>activación perimetral atm</t>
        </is>
      </c>
      <c r="O30" t="inlineStr">
        <is>
          <t>7140 C MULTIFUNCIONAL ZONA ROSA - 1430 - TBS - DIEBOLD</t>
        </is>
      </c>
      <c r="P30" t="inlineStr">
        <is>
          <t>Honeywell7810PC-1430-35-6</t>
        </is>
      </c>
      <c r="Q30" t="inlineStr">
        <is>
          <t>MICROSUICHE CONTRATAPA INFERIOR CAJERO</t>
        </is>
      </c>
      <c r="R30" t="inlineStr">
        <is>
          <t>Honeywell</t>
        </is>
      </c>
      <c r="S30" t="n">
        <v>0</v>
      </c>
      <c r="T30" t="inlineStr">
        <is>
          <t>Adier Cuitiva Mayo</t>
        </is>
      </c>
      <c r="U30" t="inlineStr">
        <is>
          <t>Mal manejo</t>
        </is>
      </c>
      <c r="V30" t="inlineStr">
        <is>
          <t>BRINKS</t>
        </is>
      </c>
      <c r="W30" t="inlineStr">
        <is>
          <t>TRANSBANK</t>
        </is>
      </c>
      <c r="X30">
        <f>EXACT(TRIM(UPPER(V30)), TRIM(UPPER(W30)))</f>
        <v/>
      </c>
      <c r="Y30" t="inlineStr"/>
      <c r="Z30" t="n">
        <v>8</v>
      </c>
      <c r="AA30" t="inlineStr">
        <is>
          <t>Oportuno</t>
        </is>
      </c>
      <c r="AB30" s="1" t="n">
        <v>46225.44221064815</v>
      </c>
      <c r="AC30" t="n">
        <v>22</v>
      </c>
      <c r="AD30" s="1" t="n">
        <v>46225.44230324074</v>
      </c>
      <c r="AE30" s="1" t="n">
        <v>46225.594375</v>
      </c>
      <c r="AF30" t="n">
        <v>13147</v>
      </c>
      <c r="AG30" t="inlineStr">
        <is>
          <t>[2026-07-22 10:37:10] Adier Cuitiva Mayo: [SOP:1] Validando Video ✅ [SOP:2] Enviando Reacción ✅ [SOP:3] Documentando ✅ || [2026-07-22 10:54:50] Adier Cuitiva Mayo: Se verifica por video cámara relacionada en tiempo real, TDV TBS en el punto en aparente normalidad || [2026-07-22 10:55:00] Adier Cuitiva Mayo: Activación generada por desarme inoportuno</t>
        </is>
      </c>
    </row>
    <row r="31">
      <c r="A31" t="inlineStr">
        <is>
          <t>1D7FEB33-390C-4823-835B-1CE24653B150</t>
        </is>
      </c>
      <c r="B31" t="inlineStr">
        <is>
          <t>2D41AE57-064D-4FDD-B2EF-2FAA89DF3F1E</t>
        </is>
      </c>
      <c r="C31" t="n">
        <v>1430</v>
      </c>
      <c r="D31" t="n">
        <v>7140</v>
      </c>
      <c r="E31" t="inlineStr">
        <is>
          <t>ATM</t>
        </is>
      </c>
      <c r="F31" t="inlineStr">
        <is>
          <t>ANTIOQUIA</t>
        </is>
      </c>
      <c r="G31" t="inlineStr">
        <is>
          <t>ANTIOQUIA</t>
        </is>
      </c>
      <c r="H31" t="inlineStr">
        <is>
          <t>MEDELLÍN</t>
        </is>
      </c>
      <c r="I31" t="n">
        <v>0</v>
      </c>
      <c r="J31" t="n">
        <v>2</v>
      </c>
      <c r="K31" t="inlineStr">
        <is>
          <t>Media</t>
        </is>
      </c>
      <c r="L31" t="inlineStr">
        <is>
          <t>WF 1047 - ZO01-Zonas 24H-ATM-AP:Disarm</t>
        </is>
      </c>
      <c r="M31" t="inlineStr">
        <is>
          <t>activación perimetral</t>
        </is>
      </c>
      <c r="N31" t="inlineStr">
        <is>
          <t>activación perimetral atm</t>
        </is>
      </c>
      <c r="O31" t="inlineStr">
        <is>
          <t>7140 C MULTIFUNCIONAL ZONA ROSA - 1430 - TBS - DIEBOLD</t>
        </is>
      </c>
      <c r="P31" t="inlineStr">
        <is>
          <t>Honeywell7810PC-1430-36-6</t>
        </is>
      </c>
      <c r="Q31" t="inlineStr">
        <is>
          <t xml:space="preserve">MAGNETICO FASCIA SUPERIOR CAJERO </t>
        </is>
      </c>
      <c r="R31" t="inlineStr">
        <is>
          <t>Honeywell</t>
        </is>
      </c>
      <c r="S31" t="n">
        <v>1</v>
      </c>
      <c r="T31" t="inlineStr">
        <is>
          <t>Adier Cuitiva Mayo</t>
        </is>
      </c>
      <c r="U31" t="inlineStr">
        <is>
          <t>Mal manejo</t>
        </is>
      </c>
      <c r="V31" t="inlineStr">
        <is>
          <t>BRINKS</t>
        </is>
      </c>
      <c r="W31" t="inlineStr">
        <is>
          <t>TRANSBANK</t>
        </is>
      </c>
      <c r="X31">
        <f>EXACT(TRIM(UPPER(V31)), TRIM(UPPER(W31)))</f>
        <v/>
      </c>
      <c r="Y31" t="inlineStr"/>
      <c r="Z31" t="n">
        <v>7</v>
      </c>
      <c r="AA31" t="inlineStr">
        <is>
          <t>Oportuno</t>
        </is>
      </c>
      <c r="AB31" s="1" t="n">
        <v>46225.44320601852</v>
      </c>
      <c r="AC31" t="n">
        <v>22</v>
      </c>
      <c r="AD31" s="1" t="n">
        <v>46225.44328703704</v>
      </c>
      <c r="AE31" s="1" t="n">
        <v>46225.594375</v>
      </c>
      <c r="AF31" t="n">
        <v>13061</v>
      </c>
      <c r="AG31" t="inlineStr"/>
    </row>
    <row r="32">
      <c r="A32" t="inlineStr">
        <is>
          <t>F2332184-C29A-4EC3-9661-9C55C9DEA8CD</t>
        </is>
      </c>
      <c r="B32" t="inlineStr">
        <is>
          <t>4ED83AFA-419B-4856-BF02-8FB4759AD027</t>
        </is>
      </c>
      <c r="C32" t="n">
        <v>6938</v>
      </c>
      <c r="D32" t="n">
        <v>9825</v>
      </c>
      <c r="E32" t="inlineStr">
        <is>
          <t>ATM</t>
        </is>
      </c>
      <c r="F32" t="inlineStr">
        <is>
          <t>CENTRO</t>
        </is>
      </c>
      <c r="G32" t="inlineStr">
        <is>
          <t>SANTANDER</t>
        </is>
      </c>
      <c r="H32" t="inlineStr">
        <is>
          <t>BUCARAMANGA</t>
        </is>
      </c>
      <c r="I32" t="n">
        <v>0</v>
      </c>
      <c r="J32" t="n">
        <v>2</v>
      </c>
      <c r="K32" t="inlineStr">
        <is>
          <t>Media</t>
        </is>
      </c>
      <c r="L32" t="inlineStr">
        <is>
          <t>WF 1047 - ZO01-Zonas 24H-ATM-AP:Disarm</t>
        </is>
      </c>
      <c r="M32" t="inlineStr">
        <is>
          <t>activación perimetral</t>
        </is>
      </c>
      <c r="N32" t="inlineStr">
        <is>
          <t>activación perimetral atm</t>
        </is>
      </c>
      <c r="O32" t="inlineStr">
        <is>
          <t>9825 9826 9827 C HALL AUTOSERVICIOS CABECERA DEL LLANO - 6938 - ATL - NCR</t>
        </is>
      </c>
      <c r="P32" t="inlineStr">
        <is>
          <t>Honeywell7810PC-6938-1-1</t>
        </is>
      </c>
      <c r="Q32" t="inlineStr">
        <is>
          <t>MAGNETICO CUARTO AIRES CAJERO</t>
        </is>
      </c>
      <c r="R32" t="inlineStr">
        <is>
          <t>Honeywell</t>
        </is>
      </c>
      <c r="S32" t="n">
        <v>1</v>
      </c>
      <c r="T32" t="inlineStr">
        <is>
          <t>Jhon Fredy Ocampo Yepez</t>
        </is>
      </c>
      <c r="U32" t="inlineStr">
        <is>
          <t>Mal manejo</t>
        </is>
      </c>
      <c r="V32" t="inlineStr">
        <is>
          <t>DIEBOLD</t>
        </is>
      </c>
      <c r="W32" t="inlineStr">
        <is>
          <t>NCR</t>
        </is>
      </c>
      <c r="X32">
        <f>EXACT(TRIM(UPPER(V32)), TRIM(UPPER(W32)))</f>
        <v/>
      </c>
      <c r="Y32" t="inlineStr"/>
      <c r="Z32" t="n">
        <v>15</v>
      </c>
      <c r="AA32" t="inlineStr">
        <is>
          <t>Oportuno</t>
        </is>
      </c>
      <c r="AB32" s="1" t="n">
        <v>46225.44474537037</v>
      </c>
      <c r="AC32" t="n">
        <v>22</v>
      </c>
      <c r="AD32" s="1" t="n">
        <v>46225.44491898148</v>
      </c>
      <c r="AE32" s="1" t="n">
        <v>46225.45482638889</v>
      </c>
      <c r="AF32" t="n">
        <v>871</v>
      </c>
      <c r="AG32" t="inlineStr">
        <is>
          <t>[2026-07-22 10:40:50] Jhon Fredy Ocampo Yepez: [SOP:1] Validando Video ✅ [SOP:2] Enviando Reacción ✅ [SOP:3] Documentando ✅ || [2026-07-22 10:41:40] Jhon Fredy Ocampo Yepez: Se verifica por video COMMAND , Todas las cámaras en tiempo real, se observa el SITIO en aparente normalidad y sin afectación alguna Se observa personal TECNICO DE DIEBOLD en el sitio || [2026-07-22 10:54:50] Jhon Fredy Ocampo Yepez: Mal manejo por no bypassear Zona</t>
        </is>
      </c>
    </row>
    <row r="33">
      <c r="A33" t="inlineStr">
        <is>
          <t>F2332184-C29A-4EC3-9661-9C55C9DEA8CD</t>
        </is>
      </c>
      <c r="B33" t="inlineStr">
        <is>
          <t>4F59DDE7-0331-4043-A7FE-40731FD91226</t>
        </is>
      </c>
      <c r="C33" t="n">
        <v>6938</v>
      </c>
      <c r="D33" t="n">
        <v>9825</v>
      </c>
      <c r="E33" t="inlineStr">
        <is>
          <t>ATM</t>
        </is>
      </c>
      <c r="F33" t="inlineStr">
        <is>
          <t>CENTRO</t>
        </is>
      </c>
      <c r="G33" t="inlineStr">
        <is>
          <t>SANTANDER</t>
        </is>
      </c>
      <c r="H33" t="inlineStr">
        <is>
          <t>BUCARAMANGA</t>
        </is>
      </c>
      <c r="I33" t="n">
        <v>0</v>
      </c>
      <c r="J33" t="n">
        <v>2</v>
      </c>
      <c r="K33" t="inlineStr">
        <is>
          <t>Media</t>
        </is>
      </c>
      <c r="L33" t="inlineStr">
        <is>
          <t>WF 1047 - ZO01-Zonas 24H-ATM-AP:Disarm</t>
        </is>
      </c>
      <c r="M33" t="inlineStr">
        <is>
          <t>activación perimetral</t>
        </is>
      </c>
      <c r="N33" t="inlineStr">
        <is>
          <t>activación perimetral atm</t>
        </is>
      </c>
      <c r="O33" t="inlineStr">
        <is>
          <t>9825 9826 9827 C HALL AUTOSERVICIOS CABECERA DEL LLANO - 6938 - ATL - NCR</t>
        </is>
      </c>
      <c r="P33" t="inlineStr">
        <is>
          <t>Honeywell7810PC-6938-3-1</t>
        </is>
      </c>
      <c r="Q33" t="inlineStr">
        <is>
          <t xml:space="preserve">INFRARROJO CUARTO AIRE ACONDICIONADO CAJERO </t>
        </is>
      </c>
      <c r="R33" t="inlineStr">
        <is>
          <t>Honeywell</t>
        </is>
      </c>
      <c r="S33" t="n">
        <v>1</v>
      </c>
      <c r="T33" t="inlineStr">
        <is>
          <t>Jhon Fredy Ocampo Yepez</t>
        </is>
      </c>
      <c r="U33" t="inlineStr">
        <is>
          <t>Mal manejo</t>
        </is>
      </c>
      <c r="V33" t="inlineStr">
        <is>
          <t>DIEBOLD</t>
        </is>
      </c>
      <c r="W33" t="inlineStr">
        <is>
          <t>NCR</t>
        </is>
      </c>
      <c r="X33">
        <f>EXACT(TRIM(UPPER(V33)), TRIM(UPPER(W33)))</f>
        <v/>
      </c>
      <c r="Y33" t="inlineStr"/>
      <c r="Z33" t="n">
        <v>9</v>
      </c>
      <c r="AA33" t="inlineStr">
        <is>
          <t>Oportuno</t>
        </is>
      </c>
      <c r="AB33" s="1" t="n">
        <v>46225.44480324074</v>
      </c>
      <c r="AC33" t="n">
        <v>22</v>
      </c>
      <c r="AD33" s="1" t="n">
        <v>46225.44490740741</v>
      </c>
      <c r="AE33" s="1" t="n">
        <v>46225.45482638889</v>
      </c>
      <c r="AF33" t="n">
        <v>866</v>
      </c>
      <c r="AG33" t="inlineStr">
        <is>
          <t>[2026-07-22 10:40:50] Jhon Fredy Ocampo Yepez: [SOP:1] Validando Video ✅ [SOP:2] Enviando Reacción ✅ [SOP:3] Documentando ✅ || [2026-07-22 10:41:40] Jhon Fredy Ocampo Yepez: Se verifica por video COMMAND , Todas las cámaras en tiempo real, se observa el SITIO en aparente normalidad y sin afectación alguna Se observa personal TECNICO DE DIEBOLD en el sitio || [2026-07-22 10:54:50] Jhon Fredy Ocampo Yepez: Mal manejo por no bypassear Zona</t>
        </is>
      </c>
    </row>
    <row r="34">
      <c r="A34" t="inlineStr">
        <is>
          <t>F2332184-C29A-4EC3-9661-9C55C9DEA8CD</t>
        </is>
      </c>
      <c r="B34" t="inlineStr">
        <is>
          <t>99A455E6-2963-4C60-9981-24AA11AAE0AD</t>
        </is>
      </c>
      <c r="C34" t="n">
        <v>6938</v>
      </c>
      <c r="D34" t="n">
        <v>9825</v>
      </c>
      <c r="E34" t="inlineStr">
        <is>
          <t>ATM</t>
        </is>
      </c>
      <c r="F34" t="inlineStr">
        <is>
          <t>CENTRO</t>
        </is>
      </c>
      <c r="G34" t="inlineStr">
        <is>
          <t>SANTANDER</t>
        </is>
      </c>
      <c r="H34" t="inlineStr">
        <is>
          <t>BUCARAMANGA</t>
        </is>
      </c>
      <c r="I34" t="n">
        <v>1</v>
      </c>
      <c r="J34" t="n">
        <v>2</v>
      </c>
      <c r="K34" t="inlineStr">
        <is>
          <t>Media</t>
        </is>
      </c>
      <c r="L34" t="inlineStr">
        <is>
          <t>WF 1047 - ZO01-Zonas 24H-ATM-AP:Disarm</t>
        </is>
      </c>
      <c r="M34" t="inlineStr">
        <is>
          <t>activación perimetral</t>
        </is>
      </c>
      <c r="N34" t="inlineStr">
        <is>
          <t>activación perimetral atm</t>
        </is>
      </c>
      <c r="O34" t="inlineStr">
        <is>
          <t>9825 9826 9827 C HALL AUTOSERVICIOS CABECERA DEL LLANO - 6938 - ATL - NCR</t>
        </is>
      </c>
      <c r="P34" t="inlineStr">
        <is>
          <t>Honeywell7810PC-6938-2-1</t>
        </is>
      </c>
      <c r="Q34" t="inlineStr">
        <is>
          <t>MAGNETICO CUARTO TECNICO CAJERO</t>
        </is>
      </c>
      <c r="R34" t="inlineStr">
        <is>
          <t>Honeywell</t>
        </is>
      </c>
      <c r="S34" t="n">
        <v>1</v>
      </c>
      <c r="T34" t="inlineStr">
        <is>
          <t>Jhon Fredy Ocampo Yepez</t>
        </is>
      </c>
      <c r="U34" t="inlineStr">
        <is>
          <t>Mal manejo</t>
        </is>
      </c>
      <c r="V34" t="inlineStr">
        <is>
          <t>DIEBOLD</t>
        </is>
      </c>
      <c r="W34" t="inlineStr">
        <is>
          <t>NCR</t>
        </is>
      </c>
      <c r="X34">
        <f>EXACT(TRIM(UPPER(V34)), TRIM(UPPER(W34)))</f>
        <v/>
      </c>
      <c r="Y34" t="inlineStr"/>
      <c r="Z34" t="n">
        <v>4</v>
      </c>
      <c r="AA34" t="inlineStr">
        <is>
          <t>Oportuno</t>
        </is>
      </c>
      <c r="AB34" s="1" t="n">
        <v>46225.44486111111</v>
      </c>
      <c r="AC34" t="n">
        <v>22</v>
      </c>
      <c r="AD34" s="1" t="n">
        <v>46225.44490740741</v>
      </c>
      <c r="AE34" s="1" t="n">
        <v>46225.45482638889</v>
      </c>
      <c r="AF34" t="n">
        <v>861</v>
      </c>
      <c r="AG34" t="inlineStr">
        <is>
          <t>[2026-07-22 10:40:50] Jhon Fredy Ocampo Yepez: [SOP:1] Validando Video ✅ [SOP:2] Enviando Reacción ✅ [SOP:3] Documentando ✅ || [2026-07-22 10:41:40] Jhon Fredy Ocampo Yepez: Se verifica por video COMMAND , Todas las cámaras en tiempo real, se observa el SITIO en aparente normalidad y sin afectación alguna Se observa personal TECNICO DE DIEBOLD en el sitio || [2026-07-22 10:54:50] Jhon Fredy Ocampo Yepez: Mal manejo por no bypassear Zona</t>
        </is>
      </c>
    </row>
    <row r="35">
      <c r="A35" t="inlineStr">
        <is>
          <t>F2332184-C29A-4EC3-9661-9C55C9DEA8CD</t>
        </is>
      </c>
      <c r="B35" t="inlineStr">
        <is>
          <t>2A9225D5-D02C-4C81-AA42-D3831293233A</t>
        </is>
      </c>
      <c r="C35" t="n">
        <v>6938</v>
      </c>
      <c r="D35" t="n">
        <v>9825</v>
      </c>
      <c r="E35" t="inlineStr">
        <is>
          <t>ATM</t>
        </is>
      </c>
      <c r="F35" t="inlineStr">
        <is>
          <t>CENTRO</t>
        </is>
      </c>
      <c r="G35" t="inlineStr">
        <is>
          <t>SANTANDER</t>
        </is>
      </c>
      <c r="H35" t="inlineStr">
        <is>
          <t>BUCARAMANGA</t>
        </is>
      </c>
      <c r="I35" t="n">
        <v>0</v>
      </c>
      <c r="J35" t="n">
        <v>2</v>
      </c>
      <c r="K35" t="inlineStr">
        <is>
          <t>Media</t>
        </is>
      </c>
      <c r="L35" t="inlineStr">
        <is>
          <t>WF 1047 - ZO01-Zonas 24H-ATM-AP:Disarm</t>
        </is>
      </c>
      <c r="M35" t="inlineStr">
        <is>
          <t>activación perimetral</t>
        </is>
      </c>
      <c r="N35" t="inlineStr">
        <is>
          <t>activación perimetral atm</t>
        </is>
      </c>
      <c r="O35" t="inlineStr">
        <is>
          <t>9825 9826 9827 C HALL AUTOSERVICIOS CABECERA DEL LLANO - 6938 - ATL - NCR</t>
        </is>
      </c>
      <c r="P35" t="inlineStr">
        <is>
          <t>Honeywell7810PC-6938-5-1</t>
        </is>
      </c>
      <c r="Q35" t="inlineStr">
        <is>
          <t xml:space="preserve">INFRARROJO CUARTO TECNICO CAJERO </t>
        </is>
      </c>
      <c r="R35" t="inlineStr">
        <is>
          <t>Honeywell</t>
        </is>
      </c>
      <c r="S35" t="n">
        <v>0</v>
      </c>
      <c r="T35" t="inlineStr">
        <is>
          <t>Jhon Fredy Ocampo Yepez</t>
        </is>
      </c>
      <c r="U35" t="inlineStr">
        <is>
          <t>Mal manejo</t>
        </is>
      </c>
      <c r="V35" t="inlineStr">
        <is>
          <t>DIEBOLD</t>
        </is>
      </c>
      <c r="W35" t="inlineStr">
        <is>
          <t>NCR</t>
        </is>
      </c>
      <c r="X35">
        <f>EXACT(TRIM(UPPER(V35)), TRIM(UPPER(W35)))</f>
        <v/>
      </c>
      <c r="Y35" t="inlineStr"/>
      <c r="Z35" t="n">
        <v>2</v>
      </c>
      <c r="AA35" t="inlineStr">
        <is>
          <t>Oportuno</t>
        </is>
      </c>
      <c r="AB35" s="1" t="n">
        <v>46225.44515046296</v>
      </c>
      <c r="AC35" t="n">
        <v>22</v>
      </c>
      <c r="AD35" s="1" t="n">
        <v>46225.44517361111</v>
      </c>
      <c r="AE35" s="1" t="n">
        <v>46225.45482638889</v>
      </c>
      <c r="AF35" t="n">
        <v>836</v>
      </c>
      <c r="AG35" t="inlineStr">
        <is>
          <t>[2026-07-22 10:54:50] Jhon Fredy Ocampo Yepez: Mal manejo por no bypassear Zona</t>
        </is>
      </c>
    </row>
    <row r="36">
      <c r="A36" t="inlineStr">
        <is>
          <t>8D929653-EA2F-4D6A-B7EF-B0345B7D358D</t>
        </is>
      </c>
      <c r="B36" t="inlineStr">
        <is>
          <t>F9C0C823-500A-410B-94A4-3BCC95B12211</t>
        </is>
      </c>
      <c r="C36" t="n">
        <v>9416</v>
      </c>
      <c r="D36" t="n">
        <v>6214</v>
      </c>
      <c r="E36" t="inlineStr">
        <is>
          <t>ATM</t>
        </is>
      </c>
      <c r="F36" t="inlineStr">
        <is>
          <t>CARIBE</t>
        </is>
      </c>
      <c r="G36" t="inlineStr">
        <is>
          <t>ATLANTICO</t>
        </is>
      </c>
      <c r="H36" t="inlineStr">
        <is>
          <t>BARRANQUILLA</t>
        </is>
      </c>
      <c r="I36" t="n">
        <v>1</v>
      </c>
      <c r="J36" t="n">
        <v>2</v>
      </c>
      <c r="K36" t="inlineStr">
        <is>
          <t>Media</t>
        </is>
      </c>
      <c r="L36" t="inlineStr">
        <is>
          <t>WF 1047 - ZO01-Zonas 24H-ATM-AP:Disarm</t>
        </is>
      </c>
      <c r="M36" t="inlineStr">
        <is>
          <t>activación perimetral</t>
        </is>
      </c>
      <c r="N36" t="inlineStr">
        <is>
          <t>activación perimetral atm</t>
        </is>
      </c>
      <c r="O36" t="inlineStr">
        <is>
          <t>6214 C MF PASEO BOLIVAR - 9416 - ATL - DIEBOLD</t>
        </is>
      </c>
      <c r="P36" t="inlineStr">
        <is>
          <t>Honeywell7810PC-9416-50-6</t>
        </is>
      </c>
      <c r="Q36" t="inlineStr">
        <is>
          <t xml:space="preserve">MAGNETICO CONTRATAPA INFERIOR CAJERO </t>
        </is>
      </c>
      <c r="R36" t="inlineStr">
        <is>
          <t>Honeywell</t>
        </is>
      </c>
      <c r="S36" t="n">
        <v>1</v>
      </c>
      <c r="T36" t="inlineStr">
        <is>
          <t>NATALIA ANDREA JARAMILLO SALINAS</t>
        </is>
      </c>
      <c r="U36" t="inlineStr">
        <is>
          <t>Mal manejo</t>
        </is>
      </c>
      <c r="V36" t="inlineStr">
        <is>
          <t>ATLAS</t>
        </is>
      </c>
      <c r="W36" t="inlineStr"/>
      <c r="X36">
        <f>EXACT(TRIM(UPPER(V36)), TRIM(UPPER(W36)))</f>
        <v/>
      </c>
      <c r="Y36" t="inlineStr"/>
      <c r="Z36" t="n">
        <v>5</v>
      </c>
      <c r="AA36" t="inlineStr">
        <is>
          <t>Oportuno</t>
        </is>
      </c>
      <c r="AB36" s="1" t="n">
        <v>46226.27040509259</v>
      </c>
      <c r="AC36" t="n">
        <v>23</v>
      </c>
      <c r="AD36" s="1" t="n">
        <v>46226.27046296297</v>
      </c>
      <c r="AE36" s="1" t="n">
        <v>46226.2752662037</v>
      </c>
      <c r="AF36" t="n">
        <v>420</v>
      </c>
      <c r="AG36" t="inlineStr">
        <is>
          <t>[2026-07-23 06:29:33] NATALIA ANDREA JARAMILLO SALINAS: [SOP:1] Validando Video ✅ [SOP:2] Enviando Reacción ✅ [SOP:3] Documentando ✅ || [2026-07-23 06:30:45] NATALIA ANDREA JARAMILLO SALINAS: SE OBSERVA EN SITIO  TDV ATLAS || [2026-07-23 06:34:46] NATALIA ANDREA JARAMILLO SALINAS: Se verifica por video COMMAND , Todas las cámaras en tiempo real, se observa el SITIO en aparente normalidad y siN  afectación alguna // Se  observa  personal de la TDV ATLAS en el sitio || [2026-07-23 06:34:52] NATALIA ANDREA JARAMILLO SALINAS: DESARME NO OPORTUNO</t>
        </is>
      </c>
    </row>
    <row r="37">
      <c r="A37" t="inlineStr">
        <is>
          <t>C6F8CD61-9269-42EA-BA14-984BD625CCA0</t>
        </is>
      </c>
      <c r="B37" t="inlineStr">
        <is>
          <t>45C1BD7E-D7FB-4496-B594-71CF842D9EC4</t>
        </is>
      </c>
      <c r="C37" t="n">
        <v>1583</v>
      </c>
      <c r="D37" t="n">
        <v>583</v>
      </c>
      <c r="E37" t="inlineStr">
        <is>
          <t>Sucursal</t>
        </is>
      </c>
      <c r="F37" t="inlineStr">
        <is>
          <t>SUR</t>
        </is>
      </c>
      <c r="G37" t="inlineStr">
        <is>
          <t>CALDAS</t>
        </is>
      </c>
      <c r="H37" t="inlineStr">
        <is>
          <t>RIOSUCIO</t>
        </is>
      </c>
      <c r="I37" t="n">
        <v>1</v>
      </c>
      <c r="J37" t="n">
        <v>2</v>
      </c>
      <c r="K37" t="inlineStr">
        <is>
          <t>Media</t>
        </is>
      </c>
      <c r="L37" t="inlineStr">
        <is>
          <t>WF 1042 - SE01-Pulsador-Billetero</t>
        </is>
      </c>
      <c r="M37" t="inlineStr">
        <is>
          <t>pulsador billetero</t>
        </is>
      </c>
      <c r="N37" t="inlineStr">
        <is>
          <t>act. urg.- pulsador billetero</t>
        </is>
      </c>
      <c r="O37" t="inlineStr">
        <is>
          <t>0583 S RIOSUCIO - 1583</t>
        </is>
      </c>
      <c r="P37" t="inlineStr">
        <is>
          <t>Honeywell7810PC-1583-40-2</t>
        </is>
      </c>
      <c r="Q37" t="inlineStr">
        <is>
          <t>PULSADOR PANICO BOVEDA</t>
        </is>
      </c>
      <c r="R37" t="inlineStr">
        <is>
          <t>Honeywell</t>
        </is>
      </c>
      <c r="S37" t="n">
        <v>1</v>
      </c>
      <c r="T37" t="inlineStr">
        <is>
          <t>NATALIA ANDREA JARAMILLO SALINAS</t>
        </is>
      </c>
      <c r="U37" t="inlineStr">
        <is>
          <t>Mal manejo (Reacción)</t>
        </is>
      </c>
      <c r="V37" t="inlineStr">
        <is>
          <t>OBRAS</t>
        </is>
      </c>
      <c r="W37" t="inlineStr">
        <is>
          <t>FUNCIONARIOS</t>
        </is>
      </c>
      <c r="X37">
        <f>EXACT(TRIM(UPPER(V37)), TRIM(UPPER(W37)))</f>
        <v/>
      </c>
      <c r="Y37" t="inlineStr">
        <is>
          <t>DIVIX</t>
        </is>
      </c>
      <c r="Z37" t="n">
        <v>4</v>
      </c>
      <c r="AA37" t="inlineStr">
        <is>
          <t>Oportuno</t>
        </is>
      </c>
      <c r="AB37" s="1" t="n">
        <v>46226.44511574074</v>
      </c>
      <c r="AC37" t="n">
        <v>23</v>
      </c>
      <c r="AD37" s="1" t="n">
        <v>46226.44516203704</v>
      </c>
      <c r="AE37" s="1" t="n">
        <v>46226.56701388889</v>
      </c>
      <c r="AF37" t="n">
        <v>10532</v>
      </c>
      <c r="AG37" t="inlineStr">
        <is>
          <t>[2026-07-23 10:41:09] NATALIA ANDREA JARAMILLO SALINAS: [SOP:1] Validando Video ✅ [SOP:2] Enviando Reacción ✅ [SOP:3] Documentando ✅ || [2026-07-23 10:42:18] NATALIA ANDREA JARAMILLO SALINAS: Se verifica por video COMMAND, Todas las cámaras en tiempo real, se observa en aparenten  normalidad // Se observan FUNCIONARIOS en el sitio AL MOMENTO DE LA ACTIVACIÓN || [2026-07-23 10:45:40] NATALIA ANDREA JARAMILLO SALINAS: CR 7  N° 6-62 Carrera 7 Nro. 6-62 Junto al parque de la Candelaria || [2026-07-23 10:46:02] NATALIA ANDREA JARAMILLO SALINAS: 3004819732 ponal || [2026-07-23 10:47:00] NATALIA ANDREA JARAMILLO SALINAS: 3004819732  no contesta || [2026-07-23 10:47:17] NATALIA ANDREA JARAMILLO SALINAS: ponal 3023512384 || [2026-07-23 10:48:19] NATALIA ANDREA JARAMILLO SALINAS: S.I  Oficial Roman eneterado</t>
        </is>
      </c>
    </row>
    <row r="38">
      <c r="A38" t="inlineStr">
        <is>
          <t>C6F8CD61-9269-42EA-BA14-984BD625CCA0</t>
        </is>
      </c>
      <c r="B38" t="inlineStr">
        <is>
          <t>5C3DEFC5-4757-425B-A480-1EFA979B5BAB</t>
        </is>
      </c>
      <c r="C38" t="n">
        <v>1583</v>
      </c>
      <c r="D38" t="n">
        <v>583</v>
      </c>
      <c r="E38" t="inlineStr">
        <is>
          <t>Sucursal</t>
        </is>
      </c>
      <c r="F38" t="inlineStr">
        <is>
          <t>SUR</t>
        </is>
      </c>
      <c r="G38" t="inlineStr">
        <is>
          <t>CALDAS</t>
        </is>
      </c>
      <c r="H38" t="inlineStr">
        <is>
          <t>RIOSUCIO</t>
        </is>
      </c>
      <c r="I38" t="n">
        <v>0</v>
      </c>
      <c r="J38" t="n">
        <v>2</v>
      </c>
      <c r="K38" t="inlineStr">
        <is>
          <t>Media</t>
        </is>
      </c>
      <c r="L38" t="inlineStr">
        <is>
          <t>WF 1042 - SE01-Pulsador-Billetero</t>
        </is>
      </c>
      <c r="M38" t="inlineStr">
        <is>
          <t>pulsador billetero</t>
        </is>
      </c>
      <c r="N38" t="inlineStr">
        <is>
          <t>act. urg.- pulsador billetero</t>
        </is>
      </c>
      <c r="O38" t="inlineStr">
        <is>
          <t>0583 S RIOSUCIO - 1583</t>
        </is>
      </c>
      <c r="P38" t="inlineStr">
        <is>
          <t>Honeywell7810PC-1583-32-1</t>
        </is>
      </c>
      <c r="Q38" t="inlineStr">
        <is>
          <t>PULSADOR PANICO CAJA 3</t>
        </is>
      </c>
      <c r="R38" t="inlineStr">
        <is>
          <t>Honeywell</t>
        </is>
      </c>
      <c r="S38" t="n">
        <v>0</v>
      </c>
      <c r="T38" t="inlineStr">
        <is>
          <t>NATALIA ANDREA JARAMILLO SALINAS</t>
        </is>
      </c>
      <c r="U38" t="inlineStr">
        <is>
          <t>Mal manejo (Reacción)</t>
        </is>
      </c>
      <c r="V38" t="inlineStr">
        <is>
          <t>OBRAS</t>
        </is>
      </c>
      <c r="W38" t="inlineStr">
        <is>
          <t>FUNCIONARIOS</t>
        </is>
      </c>
      <c r="X38">
        <f>EXACT(TRIM(UPPER(V38)), TRIM(UPPER(W38)))</f>
        <v/>
      </c>
      <c r="Y38" t="inlineStr">
        <is>
          <t>DIVIX</t>
        </is>
      </c>
      <c r="Z38" t="n">
        <v>2</v>
      </c>
      <c r="AA38" t="inlineStr">
        <is>
          <t>Oportuno</t>
        </is>
      </c>
      <c r="AB38" s="1" t="n">
        <v>46226.4475</v>
      </c>
      <c r="AC38" t="n">
        <v>23</v>
      </c>
      <c r="AD38" s="1" t="n">
        <v>46226.44752314815</v>
      </c>
      <c r="AE38" s="1" t="n">
        <v>46226.56701388889</v>
      </c>
      <c r="AF38" t="n">
        <v>10326</v>
      </c>
      <c r="AG38" t="inlineStr"/>
    </row>
    <row r="39">
      <c r="A39" t="inlineStr">
        <is>
          <t>C6F8CD61-9269-42EA-BA14-984BD625CCA0</t>
        </is>
      </c>
      <c r="B39" t="inlineStr">
        <is>
          <t>D053FEB4-887E-4E71-88E6-7DE09FE9B320</t>
        </is>
      </c>
      <c r="C39" t="n">
        <v>1583</v>
      </c>
      <c r="D39" t="n">
        <v>583</v>
      </c>
      <c r="E39" t="inlineStr">
        <is>
          <t>Sucursal</t>
        </is>
      </c>
      <c r="F39" t="inlineStr">
        <is>
          <t>SUR</t>
        </is>
      </c>
      <c r="G39" t="inlineStr">
        <is>
          <t>CALDAS</t>
        </is>
      </c>
      <c r="H39" t="inlineStr">
        <is>
          <t>RIOSUCIO</t>
        </is>
      </c>
      <c r="I39" t="n">
        <v>0</v>
      </c>
      <c r="J39" t="n">
        <v>2</v>
      </c>
      <c r="K39" t="inlineStr">
        <is>
          <t>Media</t>
        </is>
      </c>
      <c r="L39" t="inlineStr">
        <is>
          <t>WF 1042 - SE01-Pulsador-Billetero</t>
        </is>
      </c>
      <c r="M39" t="inlineStr">
        <is>
          <t>pulsador billetero</t>
        </is>
      </c>
      <c r="N39" t="inlineStr">
        <is>
          <t>act. urg.- pulsador billetero</t>
        </is>
      </c>
      <c r="O39" t="inlineStr">
        <is>
          <t>0583 S RIOSUCIO - 1583</t>
        </is>
      </c>
      <c r="P39" t="inlineStr">
        <is>
          <t>Honeywell7810PC-1583-77-1</t>
        </is>
      </c>
      <c r="Q39" t="inlineStr">
        <is>
          <t xml:space="preserve">CAIDA  BILLETEROS CAJAS </t>
        </is>
      </c>
      <c r="R39" t="inlineStr">
        <is>
          <t>Honeywell</t>
        </is>
      </c>
      <c r="S39" t="n">
        <v>0</v>
      </c>
      <c r="T39" t="inlineStr">
        <is>
          <t>NATALIA ANDREA JARAMILLO SALINAS</t>
        </is>
      </c>
      <c r="U39" t="inlineStr">
        <is>
          <t>Mal manejo (Reacción)</t>
        </is>
      </c>
      <c r="V39" t="inlineStr">
        <is>
          <t>OBRAS</t>
        </is>
      </c>
      <c r="W39" t="inlineStr">
        <is>
          <t>FUNCIONARIOS</t>
        </is>
      </c>
      <c r="X39">
        <f>EXACT(TRIM(UPPER(V39)), TRIM(UPPER(W39)))</f>
        <v/>
      </c>
      <c r="Y39" t="inlineStr">
        <is>
          <t>DIVIX</t>
        </is>
      </c>
      <c r="Z39" t="n">
        <v>6</v>
      </c>
      <c r="AA39" t="inlineStr">
        <is>
          <t>Oportuno</t>
        </is>
      </c>
      <c r="AB39" s="1" t="n">
        <v>46226.44752314815</v>
      </c>
      <c r="AC39" t="n">
        <v>23</v>
      </c>
      <c r="AD39" s="1" t="n">
        <v>46226.44759259259</v>
      </c>
      <c r="AE39" s="1" t="n">
        <v>46226.56701388889</v>
      </c>
      <c r="AF39" t="n">
        <v>10324</v>
      </c>
      <c r="AG39" t="inlineStr"/>
    </row>
    <row r="40">
      <c r="A40" t="inlineStr">
        <is>
          <t>50C437AD-974F-4364-ACA7-3BCDFFD4F366</t>
        </is>
      </c>
      <c r="B40" t="inlineStr">
        <is>
          <t>1812F43C-D9B5-4669-B4CA-1EB466AE82FD</t>
        </is>
      </c>
      <c r="C40" t="n">
        <v>1583</v>
      </c>
      <c r="D40" t="n">
        <v>583</v>
      </c>
      <c r="E40" t="inlineStr">
        <is>
          <t>Sucursal</t>
        </is>
      </c>
      <c r="F40" t="inlineStr">
        <is>
          <t>SUR</t>
        </is>
      </c>
      <c r="G40" t="inlineStr">
        <is>
          <t>CALDAS</t>
        </is>
      </c>
      <c r="H40" t="inlineStr">
        <is>
          <t>RIOSUCIO</t>
        </is>
      </c>
      <c r="I40" t="n">
        <v>1</v>
      </c>
      <c r="J40" t="n">
        <v>2</v>
      </c>
      <c r="K40" t="inlineStr">
        <is>
          <t>Media</t>
        </is>
      </c>
      <c r="L40" t="inlineStr">
        <is>
          <t>WF 1042 - SE01-Pulsador-Billetero</t>
        </is>
      </c>
      <c r="M40" t="inlineStr">
        <is>
          <t>pulsador billetero</t>
        </is>
      </c>
      <c r="N40" t="inlineStr">
        <is>
          <t>act. urg.- pulsador billetero</t>
        </is>
      </c>
      <c r="O40" t="inlineStr">
        <is>
          <t>0583 S RIOSUCIO - 1583</t>
        </is>
      </c>
      <c r="P40" t="inlineStr">
        <is>
          <t>Honeywell7810PC-1583-31-1</t>
        </is>
      </c>
      <c r="Q40" t="inlineStr">
        <is>
          <t>PULSADOR PANICO CAJA 2</t>
        </is>
      </c>
      <c r="R40" t="inlineStr">
        <is>
          <t>Honeywell</t>
        </is>
      </c>
      <c r="S40" t="n">
        <v>3</v>
      </c>
      <c r="T40" t="inlineStr">
        <is>
          <t>NATALIA ANDREA JARAMILLO SALINAS</t>
        </is>
      </c>
      <c r="U40" t="inlineStr">
        <is>
          <t>Mal manejo</t>
        </is>
      </c>
      <c r="V40" t="inlineStr">
        <is>
          <t>OBRAS</t>
        </is>
      </c>
      <c r="W40" t="inlineStr">
        <is>
          <t>FUNCIONARIOS</t>
        </is>
      </c>
      <c r="X40">
        <f>EXACT(TRIM(UPPER(V40)), TRIM(UPPER(W40)))</f>
        <v/>
      </c>
      <c r="Y40" t="inlineStr">
        <is>
          <t>DIVIX</t>
        </is>
      </c>
      <c r="Z40" t="n">
        <v>9</v>
      </c>
      <c r="AA40" t="inlineStr">
        <is>
          <t>Oportuno</t>
        </is>
      </c>
      <c r="AB40" s="1" t="n">
        <v>46226.46364583333</v>
      </c>
      <c r="AC40" t="n">
        <v>23</v>
      </c>
      <c r="AD40" s="1" t="n">
        <v>46226.46375</v>
      </c>
      <c r="AE40" s="1" t="n">
        <v>46226.56738425926</v>
      </c>
      <c r="AF40" t="n">
        <v>8963</v>
      </c>
      <c r="AG40" t="inlineStr">
        <is>
          <t>[2026-07-23 11:08:02] NATALIA ANDREA JARAMILLO SALINAS: [SOP:1] Validando Video ✅ [SOP:2] Enviando Reacción ✅ [SOP:3] Documentando ✅ || [2026-07-23 11:09:50] NATALIA ANDREA JARAMILLO SALINAS: Se verifica por video COMMAND, Todas las cámaras en tiempo real, se observa en aparenten  normalidad // Se observan FUNCIONARIOS en el sitio AL MOMENTO DE LA ACTIVACIÓN || [2026-07-23 11:11:48] NATALIA ANDREA JARAMILLO SALINAS: CR 7  N° 6-62 Carrera 7 Nro. 6-62 Junto al parque de la Candelaria || [2026-07-23 11:12:58] NATALIA ANDREA JARAMILLO SALINAS: Alexander Pulgarin Echeverry , NO CONTESTA || [2026-07-23 11:27:11] NATALIA ANDREA JARAMILLO SALINAS: ID: 565882  Abierta el 23-07-2026 10:06 23-07-2026 10:06 Root entity &gt; Ed Torre Oriente Mediana ELIANA DILSEY MUÑOZ ZAPATA  ELIANA DILSEY MUÑOZ ZAPATA  DANIEL QUICENO OSPINA  Dispositivos - 583 - riosucio CONTROL ACCESO &gt; Día a día &gt; Preventivos CA PREVENTIVO CA  (0 - 0) 0 ID: 565345  Abierta el 21-07-2026 09:01 23-07-2026 08:36 Root entity &gt; Ed Torre Oriente Mediana Natalia Sanchez Ocampo  Lina Marcela Arboleda Herrera  Sebastian Montoya  Mateo Lopez Laverde  Daniel Abelardo Montaño González  DANIEL QUICENO OSPINA  Dispositivos - 583 - riosucio MANTENIMIENTO &gt; Preventivo &gt; Alarma MANTENIMIENTO PREVENTIVO  (9 - 0) 0 || [2026-07-23 11:27:13] NATALIA ANDREA JARAMILLO SALINAS: mtto en sitio || [2026-07-23 11:35:39] NATALIA ANDREA JARAMILLO SALINAS: en sitio personal de DIVIX || [2026-07-23 11:37:14] NATALIA ANDREA JARAMILLO SALINAS: se valida con Lider Ruben Navarro el cual informa lo siguiente " Por favor cobrar mal manejo al tecnico , Divix.. Indica que no era necesario bajar sensores porque no iba a realizar activaciones. 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2026-07-27T19:36:18Z</dcterms:created>
  <dcterms:modified xsi:type="dcterms:W3CDTF">2026-07-27T19:36:18Z</dcterms:modified>
</cp:coreProperties>
</file>